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xpenses" sheetId="2" state="visible" r:id="rId4"/>
    <sheet name="Summary" sheetId="3" state="visible" r:id="rId5"/>
    <sheet name="Settin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5" authorId="0">
      <text>
        <r>
          <rPr>
            <sz val="10"/>
            <rFont val="Arial"/>
            <family val="2"/>
          </rPr>
          <t xml:space="preserve">ERROR rows are excluded from all totals until fixed. CHECK rows are counted.</t>
        </r>
      </text>
    </comment>
  </commentList>
</comments>
</file>

<file path=xl/sharedStrings.xml><?xml version="1.0" encoding="utf-8"?>
<sst xmlns="http://schemas.openxmlformats.org/spreadsheetml/2006/main" count="149" uniqueCount="116">
  <si>
    <t xml:space="preserve">LogicScript Expense Tracker</t>
  </si>
  <si>
    <t xml:space="preserve">A free tracker that checks its own entries. Made for freelancers and small businesses.</t>
  </si>
  <si>
    <t xml:space="preserve">How to use it</t>
  </si>
  <si>
    <t xml:space="preserve">1. Settings tab: set your tax year, your two review rules, and your categories (yellow cells).</t>
  </si>
  <si>
    <t xml:space="preserve">2. Expenses tab: delete the rows marked EXAMPLE, then type one expense per row in the yellow columns.</t>
  </si>
  <si>
    <t xml:space="preserve">3. Watch the Status column: ERROR = fix it (left out of totals), CHECK = counted but review it, OK = passed.</t>
  </si>
  <si>
    <t xml:space="preserve">4. Summary tab: you are done when it says ALL CHECKS PASSED.</t>
  </si>
  <si>
    <t xml:space="preserve">What the rules check</t>
  </si>
  <si>
    <t xml:space="preserve">Date: missing, not a real date, outside your tax year, or in the future.</t>
  </si>
  <si>
    <t xml:space="preserve">Amount: missing, not a number, or zero/negative (refunds: record them separately in Notes).</t>
  </si>
  <si>
    <t xml:space="preserve">Category: missing or not in your list (catches typos that slip past the dropdown when pasting).</t>
  </si>
  <si>
    <t xml:space="preserve">Duplicate: same date, vendor and amount entered more than once.</t>
  </si>
  <si>
    <t xml:space="preserve">Receipt: at or above your receipt rule but not marked as saved.</t>
  </si>
  <si>
    <t xml:space="preserve">Size: at or above your large-expense rule, so you look at it twice.</t>
  </si>
  <si>
    <t xml:space="preserve">Why both dropdowns AND rule columns?</t>
  </si>
  <si>
    <t xml:space="preserve">Dropdowns stop typos when you type, but pasted or imported values can skip them. The rule columns re-check every row anyway.</t>
  </si>
  <si>
    <t xml:space="preserve">Important</t>
  </si>
  <si>
    <t xml:space="preserve">This is a record-keeping tool, not tax, legal or accounting advice. The example thresholds and categories are placeholders.</t>
  </si>
  <si>
    <t xml:space="preserve">Ask a qualified tax professional which expenses are deductible and which records you must keep.</t>
  </si>
  <si>
    <t xml:space="preserve">Works in Google Sheets (File &gt; Make a copy), Microsoft Excel and LibreOffice. Your data stays in your own copy.</t>
  </si>
  <si>
    <t xml:space="preserve">Expenses</t>
  </si>
  <si>
    <t xml:space="preserve">Type in the yellow columns. Each grey "rule" column checks one thing. Status: ERROR = left out of totals until fixed; CHECK = counted, but please review; OK = passed every rule.</t>
  </si>
  <si>
    <t xml:space="preserve">Rows marked EXAMPLE contain deliberate mistakes so you can see the checks work. Delete them before you start.</t>
  </si>
  <si>
    <t xml:space="preserve">Rule columns: do not type here</t>
  </si>
  <si>
    <t xml:space="preserve">Date</t>
  </si>
  <si>
    <t xml:space="preserve">Vendor</t>
  </si>
  <si>
    <t xml:space="preserve">Description</t>
  </si>
  <si>
    <t xml:space="preserve">Category</t>
  </si>
  <si>
    <t xml:space="preserve">Amount</t>
  </si>
  <si>
    <t xml:space="preserve">Payment method</t>
  </si>
  <si>
    <t xml:space="preserve">Receipt saved?</t>
  </si>
  <si>
    <t xml:space="preserve">Notes</t>
  </si>
  <si>
    <t xml:space="preserve">Status</t>
  </si>
  <si>
    <t xml:space="preserve">Issues</t>
  </si>
  <si>
    <t xml:space="preserve">Rule: date</t>
  </si>
  <si>
    <t xml:space="preserve">Rule: amount</t>
  </si>
  <si>
    <t xml:space="preserve">Rule: category</t>
  </si>
  <si>
    <t xml:space="preserve">Rule: duplicate</t>
  </si>
  <si>
    <t xml:space="preserve">Rule: receipt</t>
  </si>
  <si>
    <t xml:space="preserve">Rule: size</t>
  </si>
  <si>
    <t xml:space="preserve">Office supply store</t>
  </si>
  <si>
    <t xml:space="preserve">Printer paper and toner</t>
  </si>
  <si>
    <t xml:space="preserve">Office supplies</t>
  </si>
  <si>
    <t xml:space="preserve">Card</t>
  </si>
  <si>
    <t xml:space="preserve">Yes</t>
  </si>
  <si>
    <t xml:space="preserve">EXAMPLE - delete</t>
  </si>
  <si>
    <t xml:space="preserve">Design software co.</t>
  </si>
  <si>
    <t xml:space="preserve">Monthly subscription</t>
  </si>
  <si>
    <t xml:space="preserve">Software &amp; subscriptions</t>
  </si>
  <si>
    <t xml:space="preserve">Airline</t>
  </si>
  <si>
    <t xml:space="preserve">Flight to client meeting</t>
  </si>
  <si>
    <t xml:space="preserve">Travel</t>
  </si>
  <si>
    <t xml:space="preserve">Corner cafe</t>
  </si>
  <si>
    <t xml:space="preserve">Client lunch</t>
  </si>
  <si>
    <t xml:space="preserve">Meal</t>
  </si>
  <si>
    <t xml:space="preserve">Internet provider</t>
  </si>
  <si>
    <t xml:space="preserve">March internet</t>
  </si>
  <si>
    <t xml:space="preserve">Phone &amp; internet</t>
  </si>
  <si>
    <t xml:space="preserve">Bank transfer</t>
  </si>
  <si>
    <t xml:space="preserve">Computer store</t>
  </si>
  <si>
    <t xml:space="preserve">Laptop</t>
  </si>
  <si>
    <t xml:space="preserve">Equipment</t>
  </si>
  <si>
    <t xml:space="preserve">Office landlord</t>
  </si>
  <si>
    <t xml:space="preserve">March office rent</t>
  </si>
  <si>
    <t xml:space="preserve">Rent</t>
  </si>
  <si>
    <t xml:space="preserve">Summary &amp; checks</t>
  </si>
  <si>
    <t xml:space="preserve">Overall</t>
  </si>
  <si>
    <t xml:space="preserve">Rows entered</t>
  </si>
  <si>
    <t xml:space="preserve">Rows with ERRORS (left out of totals)</t>
  </si>
  <si>
    <t xml:space="preserve">Rows to CHECK (counted, please review)</t>
  </si>
  <si>
    <t xml:space="preserve">Rows OK</t>
  </si>
  <si>
    <t xml:space="preserve">Possible duplicates</t>
  </si>
  <si>
    <t xml:space="preserve">Receipts not marked as saved</t>
  </si>
  <si>
    <t xml:space="preserve">Amount left out of totals (rows with errors)</t>
  </si>
  <si>
    <t xml:space="preserve">Total counted (OK + CHECK)</t>
  </si>
  <si>
    <t xml:space="preserve">Category totals add up to total?</t>
  </si>
  <si>
    <t xml:space="preserve">Monthly totals add up to total?</t>
  </si>
  <si>
    <t xml:space="preserve">By category</t>
  </si>
  <si>
    <t xml:space="preserve">By month</t>
  </si>
  <si>
    <t xml:space="preserve">Total counted</t>
  </si>
  <si>
    <t xml:space="preserve">Month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</si>
  <si>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</si>
  <si>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</si>
  <si>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</si>
  <si>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</si>
  <si>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</si>
  <si>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</si>
  <si>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</si>
  <si>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</si>
  <si>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</si>
  <si>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</si>
  <si>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</si>
  <si>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</si>
  <si>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Settings</t>
  </si>
  <si>
    <t xml:space="preserve">Yellow cells are yours to change. Everything else updates automatically.</t>
  </si>
  <si>
    <t xml:space="preserve">Tax year</t>
  </si>
  <si>
    <t xml:space="preserve">The year this tracker covers. Dates outside it are flagged.</t>
  </si>
  <si>
    <t xml:space="preserve">Large expense: review at or above</t>
  </si>
  <si>
    <t xml:space="preserve">Your own review rule (example value). Flags, never blocks.</t>
  </si>
  <si>
    <t xml:space="preserve">Receipt required at or above</t>
  </si>
  <si>
    <t xml:space="preserve">Your own record-keeping rule (example value), not a legal threshold. Ask your tax professional what records you need.</t>
  </si>
  <si>
    <t xml:space="preserve">Currency label</t>
  </si>
  <si>
    <t xml:space="preserve">USD</t>
  </si>
  <si>
    <t xml:space="preserve">Shown in headers only; no conversion is done.</t>
  </si>
  <si>
    <t xml:space="preserve">Categories</t>
  </si>
  <si>
    <t xml:space="preserve">Generic examples. Rename or add your own (up to 30). Map them to your tax forms with a tax professional.</t>
  </si>
  <si>
    <t xml:space="preserve">Advertising &amp; marketing</t>
  </si>
  <si>
    <t xml:space="preserve">Bank &amp; payment fees</t>
  </si>
  <si>
    <t xml:space="preserve">Meals</t>
  </si>
  <si>
    <t xml:space="preserve">Professional services</t>
  </si>
  <si>
    <t xml:space="preserve">Training &amp; education</t>
  </si>
  <si>
    <t xml:space="preserve">Vehicle</t>
  </si>
  <si>
    <t xml:space="preserve">Other</t>
  </si>
  <si>
    <t xml:space="preserve">Payment methods</t>
  </si>
  <si>
    <t xml:space="preserve">Cash</t>
  </si>
  <si>
    <t xml:space="preserve">Check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</si>
</sst>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"/>
    <numFmt numFmtId="166" formatCode="#,##0.00;[RED]\-#,##0.00"/>
    <numFmt numFmtId="167" formatCode="General"/>
    <numFmt numFmtId="168" formatCode="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2937"/>
      <name val="Arial"/>
      <family val="0"/>
      <charset val="1"/>
    </font>
    <font>
      <sz val="12"/>
      <color rgb="FF6B7280"/>
      <name val="Arial"/>
      <family val="0"/>
      <charset val="1"/>
    </font>
    <font>
      <sz val="11"/>
      <color rgb="FF1F2937"/>
      <name val="Arial"/>
      <family val="0"/>
      <charset val="1"/>
    </font>
    <font>
      <b val="true"/>
      <sz val="13"/>
      <color rgb="FF1F2937"/>
      <name val="Arial"/>
      <family val="0"/>
      <charset val="1"/>
    </font>
    <font>
      <b val="true"/>
      <sz val="18"/>
      <color rgb="FF1F2937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1"/>
      <color rgb="FFB45309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sz val="9"/>
      <color rgb="FF1F2937"/>
      <name val="Arial"/>
      <family val="0"/>
      <charset val="1"/>
    </font>
    <font>
      <sz val="9"/>
      <color rgb="FF6B7280"/>
      <name val="Arial"/>
      <family val="0"/>
      <charset val="1"/>
    </font>
    <font>
      <sz val="10"/>
      <name val="Arial"/>
      <family val="2"/>
    </font>
    <font>
      <sz val="11"/>
      <color rgb="FF6B7280"/>
      <name val="Arial"/>
      <family val="0"/>
      <charset val="1"/>
    </font>
    <font>
      <b val="true"/>
      <sz val="12"/>
      <color rgb="FF1F2937"/>
      <name val="Arial"/>
      <family val="0"/>
      <charset val="1"/>
    </font>
    <font>
      <b val="true"/>
      <sz val="16"/>
      <color rgb="FF1F2937"/>
      <name val="Arial"/>
      <family val="0"/>
      <charset val="1"/>
    </font>
    <font>
      <sz val="11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1021"/>
        <bgColor rgb="FF000000"/>
      </patternFill>
    </fill>
    <fill>
      <patternFill patternType="solid">
        <fgColor rgb="FFFFF9DB"/>
        <bgColor rgb="FFFEF3C7"/>
      </patternFill>
    </fill>
    <fill>
      <patternFill patternType="solid">
        <fgColor rgb="FFEEF2F7"/>
        <bgColor rgb="FFDCFC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B91C1C"/>
      </font>
      <fill>
        <patternFill>
          <bgColor rgb="FFFDE2E1"/>
        </patternFill>
      </fill>
    </dxf>
    <dxf>
      <font>
        <name val="Arial"/>
        <charset val="1"/>
        <family val="0"/>
        <b val="1"/>
        <color rgb="FFB45309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15803D"/>
      </font>
      <fill>
        <patternFill>
          <bgColor rgb="FFDCFCE7"/>
        </patternFill>
      </fill>
    </dxf>
    <dxf>
      <fill>
        <patternFill>
          <bgColor rgb="FFFDE2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C0C0C0"/>
      <rgbColor rgb="FF808080"/>
      <rgbColor rgb="FF9999FF"/>
      <rgbColor rgb="FFB45309"/>
      <rgbColor rgb="FFFFF9DB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CCFFCC"/>
      <rgbColor rgb="FFFEF3C7"/>
      <rgbColor rgb="FF99CCFF"/>
      <rgbColor rgb="FFFF99CC"/>
      <rgbColor rgb="FFCC99FF"/>
      <rgbColor rgb="FFFDE2E1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B1021"/>
      <rgbColor rgb="FF333300"/>
      <rgbColor rgb="FFB91C1C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24.4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6.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6.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/>
    </row>
    <row r="18" customFormat="false" ht="16.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/>
    </row>
    <row r="21" customFormat="false" ht="16.15" hidden="false" customHeight="false" outlineLevel="0" collapsed="false">
      <c r="A21" s="4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1"/>
    <col collapsed="false" customWidth="true" hidden="false" outlineLevel="0" max="8" min="8" style="0" width="22"/>
    <col collapsed="false" customWidth="true" hidden="false" outlineLevel="0" max="9" min="9" style="0" width="10"/>
    <col collapsed="false" customWidth="true" hidden="false" outlineLevel="0" max="10" min="10" style="0" width="46"/>
    <col collapsed="false" customWidth="true" hidden="false" outlineLevel="0" max="12" min="11" style="0" width="24"/>
    <col collapsed="false" customWidth="true" hidden="false" outlineLevel="0" max="14" min="13" style="0" width="20"/>
    <col collapsed="false" customWidth="true" hidden="false" outlineLevel="0" max="15" min="15" style="0" width="18"/>
    <col collapsed="false" customWidth="true" hidden="false" outlineLevel="0" max="16" min="16" style="0" width="20"/>
  </cols>
  <sheetData>
    <row r="1" customFormat="false" ht="22.05" hidden="false" customHeight="false" outlineLevel="0" collapsed="false">
      <c r="A1" s="5" t="s">
        <v>20</v>
      </c>
    </row>
    <row r="2" customFormat="false" ht="15" hidden="false" customHeight="false" outlineLevel="0" collapsed="false">
      <c r="A2" s="6" t="s">
        <v>21</v>
      </c>
    </row>
    <row r="3" customFormat="false" ht="15" hidden="false" customHeight="false" outlineLevel="0" collapsed="false">
      <c r="A3" s="7" t="s">
        <v>22</v>
      </c>
    </row>
    <row r="4" customFormat="false" ht="15" hidden="false" customHeight="false" outlineLevel="0" collapsed="false">
      <c r="K4" s="8" t="s">
        <v>23</v>
      </c>
    </row>
    <row r="5" customFormat="false" ht="30" hidden="false" customHeight="true" outlineLevel="0" collapsed="false">
      <c r="A5" s="9" t="s">
        <v>24</v>
      </c>
      <c r="B5" s="9" t="s">
        <v>25</v>
      </c>
      <c r="C5" s="9" t="s">
        <v>26</v>
      </c>
      <c r="D5" s="9" t="s">
        <v>27</v>
      </c>
      <c r="E5" s="9" t="s">
        <v>28</v>
      </c>
      <c r="F5" s="9" t="s">
        <v>29</v>
      </c>
      <c r="G5" s="9" t="s">
        <v>30</v>
      </c>
      <c r="H5" s="9" t="s">
        <v>31</v>
      </c>
      <c r="I5" s="9" t="s">
        <v>32</v>
      </c>
      <c r="J5" s="9" t="s">
        <v>33</v>
      </c>
      <c r="K5" s="9" t="s">
        <v>34</v>
      </c>
      <c r="L5" s="9" t="s">
        <v>35</v>
      </c>
      <c r="M5" s="9" t="s">
        <v>36</v>
      </c>
      <c r="N5" s="9" t="s">
        <v>37</v>
      </c>
      <c r="O5" s="9" t="s">
        <v>38</v>
      </c>
      <c r="P5" s="9" t="s">
        <v>39</v>
      </c>
    </row>
    <row r="6" customFormat="false" ht="15" hidden="false" customHeight="false" outlineLevel="0" collapsed="false">
      <c r="A6" s="10" t="n">
        <v>46027</v>
      </c>
      <c r="B6" s="11" t="s">
        <v>40</v>
      </c>
      <c r="C6" s="11" t="s">
        <v>41</v>
      </c>
      <c r="D6" s="11" t="s">
        <v>42</v>
      </c>
      <c r="E6" s="12" t="n">
        <v>48.2</v>
      </c>
      <c r="F6" s="11" t="s">
        <v>43</v>
      </c>
      <c r="G6" s="11" t="s">
        <v>44</v>
      </c>
      <c r="H6" s="11" t="s">
        <v>45</v>
      </c>
      <c r="I6" s="13" t="str">
        <f aca="false">IF(NOT(COUNTA($A6:$H6)&gt;0),"",IF(K6&amp;L6&amp;M6&lt;&gt;"","ERROR",IF(N6&amp;O6&amp;P6&lt;&gt;"","CHECK","OK")))</f>
        <v>OK</v>
      </c>
      <c r="J6" s="14" t="str">
        <f aca="false">TRIM(K6&amp;L6&amp;M6&amp;N6&amp;O6&amp;P6)</f>
        <v/>
      </c>
      <c r="K6" s="15" t="str">
        <f aca="true">IF(NOT(COUNTA($A6:$H6)&gt;0),"",IF(A6="","Missing date. ",IF(NOT(ISNUMBER(A6)),"Date is not a real date. ",IF(YEAR(A6)&lt;&gt;Settings!$B$4,"Date outside tax year. ",IF(A6&gt;TODAY(),"Date is in the future. ","")))))</f>
        <v/>
      </c>
      <c r="L6" s="15" t="str">
        <f aca="false">IF(NOT(COUNTA($A6:$H6)&gt;0),"",IF(E6="","Missing amount. ",IF(NOT(ISNUMBER(E6)),"Amount is not a number. ",IF(E6&lt;=0,"Amount must be above zero. ",""))))</f>
        <v/>
      </c>
      <c r="M6" s="15" t="str">
        <f aca="false">IF(NOT(COUNTA($A6:$H6)&gt;0),"",IF(D6="","Missing category. ",IF(COUNTIF(Settings!$B$11:$B$40,D6)=0,"Category not in your list. ","")))</f>
        <v/>
      </c>
      <c r="N6" s="15" t="str">
        <f aca="false">IF(AND(ISNUMBER(A6),ISNUMBER(E6),B6&lt;&gt;""),IF(COUNTIFS($A$6:$A$505,A6,$B$6:$B$505,B6,$E$6:$E$505,E6)&gt;1,"Possible duplicate. ",""),"")</f>
        <v/>
      </c>
      <c r="O6" s="15" t="str">
        <f aca="false">IF(AND(ISNUMBER(E6),E6&gt;=Settings!$B$6,G6&lt;&gt;"Yes"),"Receipt not marked as saved. ","")</f>
        <v/>
      </c>
      <c r="P6" s="15" t="str">
        <f aca="false">IF(AND(ISNUMBER(E6),E6&gt;=Settings!$B$5),"Large amount: review. ","")</f>
        <v/>
      </c>
    </row>
    <row r="7" customFormat="false" ht="15" hidden="false" customHeight="false" outlineLevel="0" collapsed="false">
      <c r="A7" s="10" t="n">
        <v>46034</v>
      </c>
      <c r="B7" s="11" t="s">
        <v>46</v>
      </c>
      <c r="C7" s="11" t="s">
        <v>47</v>
      </c>
      <c r="D7" s="11" t="s">
        <v>48</v>
      </c>
      <c r="E7" s="12" t="n">
        <v>59.99</v>
      </c>
      <c r="F7" s="11" t="s">
        <v>43</v>
      </c>
      <c r="G7" s="11" t="s">
        <v>44</v>
      </c>
      <c r="H7" s="11" t="s">
        <v>45</v>
      </c>
      <c r="I7" s="13" t="str">
        <f aca="false">IF(NOT(COUNTA($A7:$H7)&gt;0),"",IF(K7&amp;L7&amp;M7&lt;&gt;"","ERROR",IF(N7&amp;O7&amp;P7&lt;&gt;"","CHECK","OK")))</f>
        <v>CHECK</v>
      </c>
      <c r="J7" s="14" t="str">
        <f aca="false">TRIM(K7&amp;L7&amp;M7&amp;N7&amp;O7&amp;P7)</f>
        <v>Possible duplicate.</v>
      </c>
      <c r="K7" s="15" t="str">
        <f aca="true">IF(NOT(COUNTA($A7:$H7)&gt;0),"",IF(A7="","Missing date. ",IF(NOT(ISNUMBER(A7)),"Date is not a real date. ",IF(YEAR(A7)&lt;&gt;Settings!$B$4,"Date outside tax year. ",IF(A7&gt;TODAY(),"Date is in the future. ","")))))</f>
        <v/>
      </c>
      <c r="L7" s="15" t="str">
        <f aca="false">IF(NOT(COUNTA($A7:$H7)&gt;0),"",IF(E7="","Missing amount. ",IF(NOT(ISNUMBER(E7)),"Amount is not a number. ",IF(E7&lt;=0,"Amount must be above zero. ",""))))</f>
        <v/>
      </c>
      <c r="M7" s="15" t="str">
        <f aca="false">IF(NOT(COUNTA($A7:$H7)&gt;0),"",IF(D7="","Missing category. ",IF(COUNTIF(Settings!$B$11:$B$40,D7)=0,"Category not in your list. ","")))</f>
        <v/>
      </c>
      <c r="N7" s="15" t="str">
        <f aca="false">IF(AND(ISNUMBER(A7),ISNUMBER(E7),B7&lt;&gt;""),IF(COUNTIFS($A$6:$A$505,A7,$B$6:$B$505,B7,$E$6:$E$505,E7)&gt;1,"Possible duplicate. ",""),"")</f>
        <v>Possible duplicate. </v>
      </c>
      <c r="O7" s="15" t="str">
        <f aca="false">IF(AND(ISNUMBER(E7),E7&gt;=Settings!$B$6,G7&lt;&gt;"Yes"),"Receipt not marked as saved. ","")</f>
        <v/>
      </c>
      <c r="P7" s="15" t="str">
        <f aca="false">IF(AND(ISNUMBER(E7),E7&gt;=Settings!$B$5),"Large amount: review. ","")</f>
        <v/>
      </c>
    </row>
    <row r="8" customFormat="false" ht="15" hidden="false" customHeight="false" outlineLevel="0" collapsed="false">
      <c r="A8" s="10" t="n">
        <v>46034</v>
      </c>
      <c r="B8" s="11" t="s">
        <v>46</v>
      </c>
      <c r="C8" s="11" t="s">
        <v>47</v>
      </c>
      <c r="D8" s="11" t="s">
        <v>48</v>
      </c>
      <c r="E8" s="12" t="n">
        <v>59.99</v>
      </c>
      <c r="F8" s="11" t="s">
        <v>43</v>
      </c>
      <c r="G8" s="11" t="s">
        <v>44</v>
      </c>
      <c r="H8" s="11" t="s">
        <v>45</v>
      </c>
      <c r="I8" s="13" t="str">
        <f aca="false">IF(NOT(COUNTA($A8:$H8)&gt;0),"",IF(K8&amp;L8&amp;M8&lt;&gt;"","ERROR",IF(N8&amp;O8&amp;P8&lt;&gt;"","CHECK","OK")))</f>
        <v>CHECK</v>
      </c>
      <c r="J8" s="14" t="str">
        <f aca="false">TRIM(K8&amp;L8&amp;M8&amp;N8&amp;O8&amp;P8)</f>
        <v>Possible duplicate.</v>
      </c>
      <c r="K8" s="15" t="str">
        <f aca="true">IF(NOT(COUNTA($A8:$H8)&gt;0),"",IF(A8="","Missing date. ",IF(NOT(ISNUMBER(A8)),"Date is not a real date. ",IF(YEAR(A8)&lt;&gt;Settings!$B$4,"Date outside tax year. ",IF(A8&gt;TODAY(),"Date is in the future. ","")))))</f>
        <v/>
      </c>
      <c r="L8" s="15" t="str">
        <f aca="false">IF(NOT(COUNTA($A8:$H8)&gt;0),"",IF(E8="","Missing amount. ",IF(NOT(ISNUMBER(E8)),"Amount is not a number. ",IF(E8&lt;=0,"Amount must be above zero. ",""))))</f>
        <v/>
      </c>
      <c r="M8" s="15" t="str">
        <f aca="false">IF(NOT(COUNTA($A8:$H8)&gt;0),"",IF(D8="","Missing category. ",IF(COUNTIF(Settings!$B$11:$B$40,D8)=0,"Category not in your list. ","")))</f>
        <v/>
      </c>
      <c r="N8" s="15" t="str">
        <f aca="false">IF(AND(ISNUMBER(A8),ISNUMBER(E8),B8&lt;&gt;""),IF(COUNTIFS($A$6:$A$505,A8,$B$6:$B$505,B8,$E$6:$E$505,E8)&gt;1,"Possible duplicate. ",""),"")</f>
        <v>Possible duplicate. </v>
      </c>
      <c r="O8" s="15" t="str">
        <f aca="false">IF(AND(ISNUMBER(E8),E8&gt;=Settings!$B$6,G8&lt;&gt;"Yes"),"Receipt not marked as saved. ","")</f>
        <v/>
      </c>
      <c r="P8" s="15" t="str">
        <f aca="false">IF(AND(ISNUMBER(E8),E8&gt;=Settings!$B$5),"Large amount: review. ","")</f>
        <v/>
      </c>
    </row>
    <row r="9" customFormat="false" ht="15" hidden="false" customHeight="false" outlineLevel="0" collapsed="false">
      <c r="A9" s="10" t="n">
        <v>46056</v>
      </c>
      <c r="B9" s="11" t="s">
        <v>49</v>
      </c>
      <c r="C9" s="11" t="s">
        <v>50</v>
      </c>
      <c r="D9" s="11" t="s">
        <v>51</v>
      </c>
      <c r="E9" s="12" t="n">
        <v>412.3</v>
      </c>
      <c r="F9" s="11" t="s">
        <v>43</v>
      </c>
      <c r="G9" s="11"/>
      <c r="H9" s="11" t="s">
        <v>45</v>
      </c>
      <c r="I9" s="13" t="str">
        <f aca="false">IF(NOT(COUNTA($A9:$H9)&gt;0),"",IF(K9&amp;L9&amp;M9&lt;&gt;"","ERROR",IF(N9&amp;O9&amp;P9&lt;&gt;"","CHECK","OK")))</f>
        <v>CHECK</v>
      </c>
      <c r="J9" s="14" t="str">
        <f aca="false">TRIM(K9&amp;L9&amp;M9&amp;N9&amp;O9&amp;P9)</f>
        <v>Receipt not marked as saved.</v>
      </c>
      <c r="K9" s="15" t="str">
        <f aca="true">IF(NOT(COUNTA($A9:$H9)&gt;0),"",IF(A9="","Missing date. ",IF(NOT(ISNUMBER(A9)),"Date is not a real date. ",IF(YEAR(A9)&lt;&gt;Settings!$B$4,"Date outside tax year. ",IF(A9&gt;TODAY(),"Date is in the future. ","")))))</f>
        <v/>
      </c>
      <c r="L9" s="15" t="str">
        <f aca="false">IF(NOT(COUNTA($A9:$H9)&gt;0),"",IF(E9="","Missing amount. ",IF(NOT(ISNUMBER(E9)),"Amount is not a number. ",IF(E9&lt;=0,"Amount must be above zero. ",""))))</f>
        <v/>
      </c>
      <c r="M9" s="15" t="str">
        <f aca="false">IF(NOT(COUNTA($A9:$H9)&gt;0),"",IF(D9="","Missing category. ",IF(COUNTIF(Settings!$B$11:$B$40,D9)=0,"Category not in your list. ","")))</f>
        <v/>
      </c>
      <c r="N9" s="15" t="str">
        <f aca="false">IF(AND(ISNUMBER(A9),ISNUMBER(E9),B9&lt;&gt;""),IF(COUNTIFS($A$6:$A$505,A9,$B$6:$B$505,B9,$E$6:$E$505,E9)&gt;1,"Possible duplicate. ",""),"")</f>
        <v/>
      </c>
      <c r="O9" s="15" t="str">
        <f aca="false">IF(AND(ISNUMBER(E9),E9&gt;=Settings!$B$6,G9&lt;&gt;"Yes"),"Receipt not marked as saved. ","")</f>
        <v>Receipt not marked as saved. </v>
      </c>
      <c r="P9" s="15" t="str">
        <f aca="false">IF(AND(ISNUMBER(E9),E9&gt;=Settings!$B$5),"Large amount: review. ","")</f>
        <v/>
      </c>
    </row>
    <row r="10" customFormat="false" ht="15" hidden="false" customHeight="false" outlineLevel="0" collapsed="false">
      <c r="A10" s="10" t="n">
        <v>46067</v>
      </c>
      <c r="B10" s="11" t="s">
        <v>52</v>
      </c>
      <c r="C10" s="11" t="s">
        <v>53</v>
      </c>
      <c r="D10" s="11" t="s">
        <v>54</v>
      </c>
      <c r="E10" s="12" t="n">
        <v>38.75</v>
      </c>
      <c r="F10" s="11" t="s">
        <v>43</v>
      </c>
      <c r="G10" s="11" t="s">
        <v>44</v>
      </c>
      <c r="H10" s="11" t="s">
        <v>45</v>
      </c>
      <c r="I10" s="13" t="str">
        <f aca="false">IF(NOT(COUNTA($A10:$H10)&gt;0),"",IF(K10&amp;L10&amp;M10&lt;&gt;"","ERROR",IF(N10&amp;O10&amp;P10&lt;&gt;"","CHECK","OK")))</f>
        <v>ERROR</v>
      </c>
      <c r="J10" s="14" t="str">
        <f aca="false">TRIM(K10&amp;L10&amp;M10&amp;N10&amp;O10&amp;P10)</f>
        <v>Category not in your list.</v>
      </c>
      <c r="K10" s="15" t="str">
        <f aca="true">IF(NOT(COUNTA($A10:$H10)&gt;0),"",IF(A10="","Missing date. ",IF(NOT(ISNUMBER(A10)),"Date is not a real date. ",IF(YEAR(A10)&lt;&gt;Settings!$B$4,"Date outside tax year. ",IF(A10&gt;TODAY(),"Date is in the future. ","")))))</f>
        <v/>
      </c>
      <c r="L10" s="15" t="str">
        <f aca="false">IF(NOT(COUNTA($A10:$H10)&gt;0),"",IF(E10="","Missing amount. ",IF(NOT(ISNUMBER(E10)),"Amount is not a number. ",IF(E10&lt;=0,"Amount must be above zero. ",""))))</f>
        <v/>
      </c>
      <c r="M10" s="15" t="str">
        <f aca="false">IF(NOT(COUNTA($A10:$H10)&gt;0),"",IF(D10="","Missing category. ",IF(COUNTIF(Settings!$B$11:$B$40,D10)=0,"Category not in your list. ","")))</f>
        <v>Category not in your list. </v>
      </c>
      <c r="N10" s="15" t="str">
        <f aca="false">IF(AND(ISNUMBER(A10),ISNUMBER(E10),B10&lt;&gt;""),IF(COUNTIFS($A$6:$A$505,A10,$B$6:$B$505,B10,$E$6:$E$505,E10)&gt;1,"Possible duplicate. ",""),"")</f>
        <v/>
      </c>
      <c r="O10" s="15" t="str">
        <f aca="false">IF(AND(ISNUMBER(E10),E10&gt;=Settings!$B$6,G10&lt;&gt;"Yes"),"Receipt not marked as saved. ","")</f>
        <v/>
      </c>
      <c r="P10" s="15" t="str">
        <f aca="false">IF(AND(ISNUMBER(E10),E10&gt;=Settings!$B$5),"Large amount: review. ","")</f>
        <v/>
      </c>
    </row>
    <row r="11" customFormat="false" ht="15" hidden="false" customHeight="false" outlineLevel="0" collapsed="false">
      <c r="A11" s="10" t="n">
        <v>46082</v>
      </c>
      <c r="B11" s="11" t="s">
        <v>55</v>
      </c>
      <c r="C11" s="11" t="s">
        <v>56</v>
      </c>
      <c r="D11" s="11" t="s">
        <v>57</v>
      </c>
      <c r="E11" s="12" t="n">
        <v>-89.99</v>
      </c>
      <c r="F11" s="11" t="s">
        <v>58</v>
      </c>
      <c r="G11" s="11" t="s">
        <v>44</v>
      </c>
      <c r="H11" s="11" t="s">
        <v>45</v>
      </c>
      <c r="I11" s="13" t="str">
        <f aca="false">IF(NOT(COUNTA($A11:$H11)&gt;0),"",IF(K11&amp;L11&amp;M11&lt;&gt;"","ERROR",IF(N11&amp;O11&amp;P11&lt;&gt;"","CHECK","OK")))</f>
        <v>ERROR</v>
      </c>
      <c r="J11" s="14" t="str">
        <f aca="false">TRIM(K11&amp;L11&amp;M11&amp;N11&amp;O11&amp;P11)</f>
        <v>Amount must be above zero.</v>
      </c>
      <c r="K11" s="15" t="str">
        <f aca="true">IF(NOT(COUNTA($A11:$H11)&gt;0),"",IF(A11="","Missing date. ",IF(NOT(ISNUMBER(A11)),"Date is not a real date. ",IF(YEAR(A11)&lt;&gt;Settings!$B$4,"Date outside tax year. ",IF(A11&gt;TODAY(),"Date is in the future. ","")))))</f>
        <v/>
      </c>
      <c r="L11" s="15" t="str">
        <f aca="false">IF(NOT(COUNTA($A11:$H11)&gt;0),"",IF(E11="","Missing amount. ",IF(NOT(ISNUMBER(E11)),"Amount is not a number. ",IF(E11&lt;=0,"Amount must be above zero. ",""))))</f>
        <v>Amount must be above zero. </v>
      </c>
      <c r="M11" s="15" t="str">
        <f aca="false">IF(NOT(COUNTA($A11:$H11)&gt;0),"",IF(D11="","Missing category. ",IF(COUNTIF(Settings!$B$11:$B$40,D11)=0,"Category not in your list. ","")))</f>
        <v/>
      </c>
      <c r="N11" s="15" t="str">
        <f aca="false">IF(AND(ISNUMBER(A11),ISNUMBER(E11),B11&lt;&gt;""),IF(COUNTIFS($A$6:$A$505,A11,$B$6:$B$505,B11,$E$6:$E$505,E11)&gt;1,"Possible duplicate. ",""),"")</f>
        <v/>
      </c>
      <c r="O11" s="15" t="str">
        <f aca="false">IF(AND(ISNUMBER(E11),E11&gt;=Settings!$B$6,G11&lt;&gt;"Yes"),"Receipt not marked as saved. ","")</f>
        <v/>
      </c>
      <c r="P11" s="15" t="str">
        <f aca="false">IF(AND(ISNUMBER(E11),E11&gt;=Settings!$B$5),"Large amount: review. ","")</f>
        <v/>
      </c>
    </row>
    <row r="12" customFormat="false" ht="15" hidden="false" customHeight="false" outlineLevel="0" collapsed="false">
      <c r="A12" s="10" t="n">
        <v>46021</v>
      </c>
      <c r="B12" s="11" t="s">
        <v>59</v>
      </c>
      <c r="C12" s="11" t="s">
        <v>60</v>
      </c>
      <c r="D12" s="11" t="s">
        <v>61</v>
      </c>
      <c r="E12" s="12" t="n">
        <v>1299</v>
      </c>
      <c r="F12" s="11" t="s">
        <v>43</v>
      </c>
      <c r="G12" s="11" t="s">
        <v>44</v>
      </c>
      <c r="H12" s="11" t="s">
        <v>45</v>
      </c>
      <c r="I12" s="13" t="str">
        <f aca="false">IF(NOT(COUNTA($A12:$H12)&gt;0),"",IF(K12&amp;L12&amp;M12&lt;&gt;"","ERROR",IF(N12&amp;O12&amp;P12&lt;&gt;"","CHECK","OK")))</f>
        <v>ERROR</v>
      </c>
      <c r="J12" s="14" t="str">
        <f aca="false">TRIM(K12&amp;L12&amp;M12&amp;N12&amp;O12&amp;P12)</f>
        <v>Date outside tax year. Large amount: review.</v>
      </c>
      <c r="K12" s="15" t="str">
        <f aca="true">IF(NOT(COUNTA($A12:$H12)&gt;0),"",IF(A12="","Missing date. ",IF(NOT(ISNUMBER(A12)),"Date is not a real date. ",IF(YEAR(A12)&lt;&gt;Settings!$B$4,"Date outside tax year. ",IF(A12&gt;TODAY(),"Date is in the future. ","")))))</f>
        <v>Date outside tax year. </v>
      </c>
      <c r="L12" s="15" t="str">
        <f aca="false">IF(NOT(COUNTA($A12:$H12)&gt;0),"",IF(E12="","Missing amount. ",IF(NOT(ISNUMBER(E12)),"Amount is not a number. ",IF(E12&lt;=0,"Amount must be above zero. ",""))))</f>
        <v/>
      </c>
      <c r="M12" s="15" t="str">
        <f aca="false">IF(NOT(COUNTA($A12:$H12)&gt;0),"",IF(D12="","Missing category. ",IF(COUNTIF(Settings!$B$11:$B$40,D12)=0,"Category not in your list. ","")))</f>
        <v/>
      </c>
      <c r="N12" s="15" t="str">
        <f aca="false">IF(AND(ISNUMBER(A12),ISNUMBER(E12),B12&lt;&gt;""),IF(COUNTIFS($A$6:$A$505,A12,$B$6:$B$505,B12,$E$6:$E$505,E12)&gt;1,"Possible duplicate. ",""),"")</f>
        <v/>
      </c>
      <c r="O12" s="15" t="str">
        <f aca="false">IF(AND(ISNUMBER(E12),E12&gt;=Settings!$B$6,G12&lt;&gt;"Yes"),"Receipt not marked as saved. ","")</f>
        <v/>
      </c>
      <c r="P12" s="15" t="str">
        <f aca="false">IF(AND(ISNUMBER(E12),E12&gt;=Settings!$B$5),"Large amount: review. ","")</f>
        <v>Large amount: review. </v>
      </c>
    </row>
    <row r="13" customFormat="false" ht="15" hidden="false" customHeight="false" outlineLevel="0" collapsed="false">
      <c r="A13" s="10" t="n">
        <v>46096</v>
      </c>
      <c r="B13" s="11" t="s">
        <v>62</v>
      </c>
      <c r="C13" s="11" t="s">
        <v>63</v>
      </c>
      <c r="D13" s="11" t="s">
        <v>64</v>
      </c>
      <c r="E13" s="12" t="n">
        <v>1200</v>
      </c>
      <c r="F13" s="11" t="s">
        <v>58</v>
      </c>
      <c r="G13" s="11" t="s">
        <v>44</v>
      </c>
      <c r="H13" s="11" t="s">
        <v>45</v>
      </c>
      <c r="I13" s="13" t="str">
        <f aca="false">IF(NOT(COUNTA($A13:$H13)&gt;0),"",IF(K13&amp;L13&amp;M13&lt;&gt;"","ERROR",IF(N13&amp;O13&amp;P13&lt;&gt;"","CHECK","OK")))</f>
        <v>CHECK</v>
      </c>
      <c r="J13" s="14" t="str">
        <f aca="false">TRIM(K13&amp;L13&amp;M13&amp;N13&amp;O13&amp;P13)</f>
        <v>Large amount: review.</v>
      </c>
      <c r="K13" s="15" t="str">
        <f aca="true">IF(NOT(COUNTA($A13:$H13)&gt;0),"",IF(A13="","Missing date. ",IF(NOT(ISNUMBER(A13)),"Date is not a real date. ",IF(YEAR(A13)&lt;&gt;Settings!$B$4,"Date outside tax year. ",IF(A13&gt;TODAY(),"Date is in the future. ","")))))</f>
        <v/>
      </c>
      <c r="L13" s="15" t="str">
        <f aca="false">IF(NOT(COUNTA($A13:$H13)&gt;0),"",IF(E13="","Missing amount. ",IF(NOT(ISNUMBER(E13)),"Amount is not a number. ",IF(E13&lt;=0,"Amount must be above zero. ",""))))</f>
        <v/>
      </c>
      <c r="M13" s="15" t="str">
        <f aca="false">IF(NOT(COUNTA($A13:$H13)&gt;0),"",IF(D13="","Missing category. ",IF(COUNTIF(Settings!$B$11:$B$40,D13)=0,"Category not in your list. ","")))</f>
        <v/>
      </c>
      <c r="N13" s="15" t="str">
        <f aca="false">IF(AND(ISNUMBER(A13),ISNUMBER(E13),B13&lt;&gt;""),IF(COUNTIFS($A$6:$A$505,A13,$B$6:$B$505,B13,$E$6:$E$505,E13)&gt;1,"Possible duplicate. ",""),"")</f>
        <v/>
      </c>
      <c r="O13" s="15" t="str">
        <f aca="false">IF(AND(ISNUMBER(E13),E13&gt;=Settings!$B$6,G13&lt;&gt;"Yes"),"Receipt not marked as saved. ","")</f>
        <v/>
      </c>
      <c r="P13" s="15" t="str">
        <f aca="false">IF(AND(ISNUMBER(E13),E13&gt;=Settings!$B$5),"Large amount: review. ","")</f>
        <v>Large amount: review. </v>
      </c>
    </row>
    <row r="14" customFormat="false" ht="15" hidden="false" customHeight="false" outlineLevel="0" collapsed="false">
      <c r="A14" s="10"/>
      <c r="B14" s="11"/>
      <c r="C14" s="11"/>
      <c r="D14" s="11"/>
      <c r="E14" s="12"/>
      <c r="F14" s="11"/>
      <c r="G14" s="11"/>
      <c r="H14" s="11"/>
      <c r="I14" s="13" t="str">
        <f aca="false">IF(NOT(COUNTA($A14:$H14)&gt;0),"",IF(K14&amp;L14&amp;M14&lt;&gt;"","ERROR",IF(N14&amp;O14&amp;P14&lt;&gt;"","CHECK","OK")))</f>
        <v/>
      </c>
      <c r="J14" s="14" t="str">
        <f aca="false">TRIM(K14&amp;L14&amp;M14&amp;N14&amp;O14&amp;P14)</f>
        <v/>
      </c>
      <c r="K14" s="15" t="str">
        <f aca="true">IF(NOT(COUNTA($A14:$H14)&gt;0),"",IF(A14="","Missing date. ",IF(NOT(ISNUMBER(A14)),"Date is not a real date. ",IF(YEAR(A14)&lt;&gt;Settings!$B$4,"Date outside tax year. ",IF(A14&gt;TODAY(),"Date is in the future. ","")))))</f>
        <v/>
      </c>
      <c r="L14" s="15" t="str">
        <f aca="false">IF(NOT(COUNTA($A14:$H14)&gt;0),"",IF(E14="","Missing amount. ",IF(NOT(ISNUMBER(E14)),"Amount is not a number. ",IF(E14&lt;=0,"Amount must be above zero. ",""))))</f>
        <v/>
      </c>
      <c r="M14" s="15" t="str">
        <f aca="false">IF(NOT(COUNTA($A14:$H14)&gt;0),"",IF(D14="","Missing category. ",IF(COUNTIF(Settings!$B$11:$B$40,D14)=0,"Category not in your list. ","")))</f>
        <v/>
      </c>
      <c r="N14" s="15" t="str">
        <f aca="false">IF(AND(ISNUMBER(A14),ISNUMBER(E14),B14&lt;&gt;""),IF(COUNTIFS($A$6:$A$505,A14,$B$6:$B$505,B14,$E$6:$E$505,E14)&gt;1,"Possible duplicate. ",""),"")</f>
        <v/>
      </c>
      <c r="O14" s="15" t="str">
        <f aca="false">IF(AND(ISNUMBER(E14),E14&gt;=Settings!$B$6,G14&lt;&gt;"Yes"),"Receipt not marked as saved. ","")</f>
        <v/>
      </c>
      <c r="P14" s="15" t="str">
        <f aca="false">IF(AND(ISNUMBER(E14),E14&gt;=Settings!$B$5),"Large amount: review. ","")</f>
        <v/>
      </c>
    </row>
    <row r="15" customFormat="false" ht="15" hidden="false" customHeight="false" outlineLevel="0" collapsed="false">
      <c r="A15" s="10"/>
      <c r="B15" s="11"/>
      <c r="C15" s="11"/>
      <c r="D15" s="11"/>
      <c r="E15" s="12"/>
      <c r="F15" s="11"/>
      <c r="G15" s="11"/>
      <c r="H15" s="11"/>
      <c r="I15" s="13" t="str">
        <f aca="false">IF(NOT(COUNTA($A15:$H15)&gt;0),"",IF(K15&amp;L15&amp;M15&lt;&gt;"","ERROR",IF(N15&amp;O15&amp;P15&lt;&gt;"","CHECK","OK")))</f>
        <v/>
      </c>
      <c r="J15" s="14" t="str">
        <f aca="false">TRIM(K15&amp;L15&amp;M15&amp;N15&amp;O15&amp;P15)</f>
        <v/>
      </c>
      <c r="K15" s="15" t="str">
        <f aca="true">IF(NOT(COUNTA($A15:$H15)&gt;0),"",IF(A15="","Missing date. ",IF(NOT(ISNUMBER(A15)),"Date is not a real date. ",IF(YEAR(A15)&lt;&gt;Settings!$B$4,"Date outside tax year. ",IF(A15&gt;TODAY(),"Date is in the future. ","")))))</f>
        <v/>
      </c>
      <c r="L15" s="15" t="str">
        <f aca="false">IF(NOT(COUNTA($A15:$H15)&gt;0),"",IF(E15="","Missing amount. ",IF(NOT(ISNUMBER(E15)),"Amount is not a number. ",IF(E15&lt;=0,"Amount must be above zero. ",""))))</f>
        <v/>
      </c>
      <c r="M15" s="15" t="str">
        <f aca="false">IF(NOT(COUNTA($A15:$H15)&gt;0),"",IF(D15="","Missing category. ",IF(COUNTIF(Settings!$B$11:$B$40,D15)=0,"Category not in your list. ","")))</f>
        <v/>
      </c>
      <c r="N15" s="15" t="str">
        <f aca="false">IF(AND(ISNUMBER(A15),ISNUMBER(E15),B15&lt;&gt;""),IF(COUNTIFS($A$6:$A$505,A15,$B$6:$B$505,B15,$E$6:$E$505,E15)&gt;1,"Possible duplicate. ",""),"")</f>
        <v/>
      </c>
      <c r="O15" s="15" t="str">
        <f aca="false">IF(AND(ISNUMBER(E15),E15&gt;=Settings!$B$6,G15&lt;&gt;"Yes"),"Receipt not marked as saved. ","")</f>
        <v/>
      </c>
      <c r="P15" s="15" t="str">
        <f aca="false">IF(AND(ISNUMBER(E15),E15&gt;=Settings!$B$5),"Large amount: review. ","")</f>
        <v/>
      </c>
    </row>
    <row r="16" customFormat="false" ht="15" hidden="false" customHeight="false" outlineLevel="0" collapsed="false">
      <c r="A16" s="10"/>
      <c r="B16" s="11"/>
      <c r="C16" s="11"/>
      <c r="D16" s="11"/>
      <c r="E16" s="12"/>
      <c r="F16" s="11"/>
      <c r="G16" s="11"/>
      <c r="H16" s="11"/>
      <c r="I16" s="13" t="str">
        <f aca="false">IF(NOT(COUNTA($A16:$H16)&gt;0),"",IF(K16&amp;L16&amp;M16&lt;&gt;"","ERROR",IF(N16&amp;O16&amp;P16&lt;&gt;"","CHECK","OK")))</f>
        <v/>
      </c>
      <c r="J16" s="14" t="str">
        <f aca="false">TRIM(K16&amp;L16&amp;M16&amp;N16&amp;O16&amp;P16)</f>
        <v/>
      </c>
      <c r="K16" s="15" t="str">
        <f aca="true">IF(NOT(COUNTA($A16:$H16)&gt;0),"",IF(A16="","Missing date. ",IF(NOT(ISNUMBER(A16)),"Date is not a real date. ",IF(YEAR(A16)&lt;&gt;Settings!$B$4,"Date outside tax year. ",IF(A16&gt;TODAY(),"Date is in the future. ","")))))</f>
        <v/>
      </c>
      <c r="L16" s="15" t="str">
        <f aca="false">IF(NOT(COUNTA($A16:$H16)&gt;0),"",IF(E16="","Missing amount. ",IF(NOT(ISNUMBER(E16)),"Amount is not a number. ",IF(E16&lt;=0,"Amount must be above zero. ",""))))</f>
        <v/>
      </c>
      <c r="M16" s="15" t="str">
        <f aca="false">IF(NOT(COUNTA($A16:$H16)&gt;0),"",IF(D16="","Missing category. ",IF(COUNTIF(Settings!$B$11:$B$40,D16)=0,"Category not in your list. ","")))</f>
        <v/>
      </c>
      <c r="N16" s="15" t="str">
        <f aca="false">IF(AND(ISNUMBER(A16),ISNUMBER(E16),B16&lt;&gt;""),IF(COUNTIFS($A$6:$A$505,A16,$B$6:$B$505,B16,$E$6:$E$505,E16)&gt;1,"Possible duplicate. ",""),"")</f>
        <v/>
      </c>
      <c r="O16" s="15" t="str">
        <f aca="false">IF(AND(ISNUMBER(E16),E16&gt;=Settings!$B$6,G16&lt;&gt;"Yes"),"Receipt not marked as saved. ","")</f>
        <v/>
      </c>
      <c r="P16" s="15" t="str">
        <f aca="false">IF(AND(ISNUMBER(E16),E16&gt;=Settings!$B$5),"Large amount: review. ","")</f>
        <v/>
      </c>
    </row>
    <row r="17" customFormat="false" ht="15" hidden="false" customHeight="false" outlineLevel="0" collapsed="false">
      <c r="A17" s="10"/>
      <c r="B17" s="11"/>
      <c r="C17" s="11"/>
      <c r="D17" s="11"/>
      <c r="E17" s="12"/>
      <c r="F17" s="11"/>
      <c r="G17" s="11"/>
      <c r="H17" s="11"/>
      <c r="I17" s="13" t="str">
        <f aca="false">IF(NOT(COUNTA($A17:$H17)&gt;0),"",IF(K17&amp;L17&amp;M17&lt;&gt;"","ERROR",IF(N17&amp;O17&amp;P17&lt;&gt;"","CHECK","OK")))</f>
        <v/>
      </c>
      <c r="J17" s="14" t="str">
        <f aca="false">TRIM(K17&amp;L17&amp;M17&amp;N17&amp;O17&amp;P17)</f>
        <v/>
      </c>
      <c r="K17" s="15" t="str">
        <f aca="true">IF(NOT(COUNTA($A17:$H17)&gt;0),"",IF(A17="","Missing date. ",IF(NOT(ISNUMBER(A17)),"Date is not a real date. ",IF(YEAR(A17)&lt;&gt;Settings!$B$4,"Date outside tax year. ",IF(A17&gt;TODAY(),"Date is in the future. ","")))))</f>
        <v/>
      </c>
      <c r="L17" s="15" t="str">
        <f aca="false">IF(NOT(COUNTA($A17:$H17)&gt;0),"",IF(E17="","Missing amount. ",IF(NOT(ISNUMBER(E17)),"Amount is not a number. ",IF(E17&lt;=0,"Amount must be above zero. ",""))))</f>
        <v/>
      </c>
      <c r="M17" s="15" t="str">
        <f aca="false">IF(NOT(COUNTA($A17:$H17)&gt;0),"",IF(D17="","Missing category. ",IF(COUNTIF(Settings!$B$11:$B$40,D17)=0,"Category not in your list. ","")))</f>
        <v/>
      </c>
      <c r="N17" s="15" t="str">
        <f aca="false">IF(AND(ISNUMBER(A17),ISNUMBER(E17),B17&lt;&gt;""),IF(COUNTIFS($A$6:$A$505,A17,$B$6:$B$505,B17,$E$6:$E$505,E17)&gt;1,"Possible duplicate. ",""),"")</f>
        <v/>
      </c>
      <c r="O17" s="15" t="str">
        <f aca="false">IF(AND(ISNUMBER(E17),E17&gt;=Settings!$B$6,G17&lt;&gt;"Yes"),"Receipt not marked as saved. ","")</f>
        <v/>
      </c>
      <c r="P17" s="15" t="str">
        <f aca="false">IF(AND(ISNUMBER(E17),E17&gt;=Settings!$B$5),"Large amount: review. ","")</f>
        <v/>
      </c>
    </row>
    <row r="18" customFormat="false" ht="15" hidden="false" customHeight="false" outlineLevel="0" collapsed="false">
      <c r="A18" s="10"/>
      <c r="B18" s="11"/>
      <c r="C18" s="11"/>
      <c r="D18" s="11"/>
      <c r="E18" s="12"/>
      <c r="F18" s="11"/>
      <c r="G18" s="11"/>
      <c r="H18" s="11"/>
      <c r="I18" s="13" t="str">
        <f aca="false">IF(NOT(COUNTA($A18:$H18)&gt;0),"",IF(K18&amp;L18&amp;M18&lt;&gt;"","ERROR",IF(N18&amp;O18&amp;P18&lt;&gt;"","CHECK","OK")))</f>
        <v/>
      </c>
      <c r="J18" s="14" t="str">
        <f aca="false">TRIM(K18&amp;L18&amp;M18&amp;N18&amp;O18&amp;P18)</f>
        <v/>
      </c>
      <c r="K18" s="15" t="str">
        <f aca="true">IF(NOT(COUNTA($A18:$H18)&gt;0),"",IF(A18="","Missing date. ",IF(NOT(ISNUMBER(A18)),"Date is not a real date. ",IF(YEAR(A18)&lt;&gt;Settings!$B$4,"Date outside tax year. ",IF(A18&gt;TODAY(),"Date is in the future. ","")))))</f>
        <v/>
      </c>
      <c r="L18" s="15" t="str">
        <f aca="false">IF(NOT(COUNTA($A18:$H18)&gt;0),"",IF(E18="","Missing amount. ",IF(NOT(ISNUMBER(E18)),"Amount is not a number. ",IF(E18&lt;=0,"Amount must be above zero. ",""))))</f>
        <v/>
      </c>
      <c r="M18" s="15" t="str">
        <f aca="false">IF(NOT(COUNTA($A18:$H18)&gt;0),"",IF(D18="","Missing category. ",IF(COUNTIF(Settings!$B$11:$B$40,D18)=0,"Category not in your list. ","")))</f>
        <v/>
      </c>
      <c r="N18" s="15" t="str">
        <f aca="false">IF(AND(ISNUMBER(A18),ISNUMBER(E18),B18&lt;&gt;""),IF(COUNTIFS($A$6:$A$505,A18,$B$6:$B$505,B18,$E$6:$E$505,E18)&gt;1,"Possible duplicate. ",""),"")</f>
        <v/>
      </c>
      <c r="O18" s="15" t="str">
        <f aca="false">IF(AND(ISNUMBER(E18),E18&gt;=Settings!$B$6,G18&lt;&gt;"Yes"),"Receipt not marked as saved. ","")</f>
        <v/>
      </c>
      <c r="P18" s="15" t="str">
        <f aca="false">IF(AND(ISNUMBER(E18),E18&gt;=Settings!$B$5),"Large amount: review. ","")</f>
        <v/>
      </c>
    </row>
    <row r="19" customFormat="false" ht="15" hidden="false" customHeight="false" outlineLevel="0" collapsed="false">
      <c r="A19" s="10"/>
      <c r="B19" s="11"/>
      <c r="C19" s="11"/>
      <c r="D19" s="11"/>
      <c r="E19" s="12"/>
      <c r="F19" s="11"/>
      <c r="G19" s="11"/>
      <c r="H19" s="11"/>
      <c r="I19" s="13" t="str">
        <f aca="false">IF(NOT(COUNTA($A19:$H19)&gt;0),"",IF(K19&amp;L19&amp;M19&lt;&gt;"","ERROR",IF(N19&amp;O19&amp;P19&lt;&gt;"","CHECK","OK")))</f>
        <v/>
      </c>
      <c r="J19" s="14" t="str">
        <f aca="false">TRIM(K19&amp;L19&amp;M19&amp;N19&amp;O19&amp;P19)</f>
        <v/>
      </c>
      <c r="K19" s="15" t="str">
        <f aca="true">IF(NOT(COUNTA($A19:$H19)&gt;0),"",IF(A19="","Missing date. ",IF(NOT(ISNUMBER(A19)),"Date is not a real date. ",IF(YEAR(A19)&lt;&gt;Settings!$B$4,"Date outside tax year. ",IF(A19&gt;TODAY(),"Date is in the future. ","")))))</f>
        <v/>
      </c>
      <c r="L19" s="15" t="str">
        <f aca="false">IF(NOT(COUNTA($A19:$H19)&gt;0),"",IF(E19="","Missing amount. ",IF(NOT(ISNUMBER(E19)),"Amount is not a number. ",IF(E19&lt;=0,"Amount must be above zero. ",""))))</f>
        <v/>
      </c>
      <c r="M19" s="15" t="str">
        <f aca="false">IF(NOT(COUNTA($A19:$H19)&gt;0),"",IF(D19="","Missing category. ",IF(COUNTIF(Settings!$B$11:$B$40,D19)=0,"Category not in your list. ","")))</f>
        <v/>
      </c>
      <c r="N19" s="15" t="str">
        <f aca="false">IF(AND(ISNUMBER(A19),ISNUMBER(E19),B19&lt;&gt;""),IF(COUNTIFS($A$6:$A$505,A19,$B$6:$B$505,B19,$E$6:$E$505,E19)&gt;1,"Possible duplicate. ",""),"")</f>
        <v/>
      </c>
      <c r="O19" s="15" t="str">
        <f aca="false">IF(AND(ISNUMBER(E19),E19&gt;=Settings!$B$6,G19&lt;&gt;"Yes"),"Receipt not marked as saved. ","")</f>
        <v/>
      </c>
      <c r="P19" s="15" t="str">
        <f aca="false">IF(AND(ISNUMBER(E19),E19&gt;=Settings!$B$5),"Large amount: review. ","")</f>
        <v/>
      </c>
    </row>
    <row r="20" customFormat="false" ht="15" hidden="false" customHeight="false" outlineLevel="0" collapsed="false">
      <c r="A20" s="10"/>
      <c r="B20" s="11"/>
      <c r="C20" s="11"/>
      <c r="D20" s="11"/>
      <c r="E20" s="12"/>
      <c r="F20" s="11"/>
      <c r="G20" s="11"/>
      <c r="H20" s="11"/>
      <c r="I20" s="13" t="str">
        <f aca="false">IF(NOT(COUNTA($A20:$H20)&gt;0),"",IF(K20&amp;L20&amp;M20&lt;&gt;"","ERROR",IF(N20&amp;O20&amp;P20&lt;&gt;"","CHECK","OK")))</f>
        <v/>
      </c>
      <c r="J20" s="14" t="str">
        <f aca="false">TRIM(K20&amp;L20&amp;M20&amp;N20&amp;O20&amp;P20)</f>
        <v/>
      </c>
      <c r="K20" s="15" t="str">
        <f aca="true">IF(NOT(COUNTA($A20:$H20)&gt;0),"",IF(A20="","Missing date. ",IF(NOT(ISNUMBER(A20)),"Date is not a real date. ",IF(YEAR(A20)&lt;&gt;Settings!$B$4,"Date outside tax year. ",IF(A20&gt;TODAY(),"Date is in the future. ","")))))</f>
        <v/>
      </c>
      <c r="L20" s="15" t="str">
        <f aca="false">IF(NOT(COUNTA($A20:$H20)&gt;0),"",IF(E20="","Missing amount. ",IF(NOT(ISNUMBER(E20)),"Amount is not a number. ",IF(E20&lt;=0,"Amount must be above zero. ",""))))</f>
        <v/>
      </c>
      <c r="M20" s="15" t="str">
        <f aca="false">IF(NOT(COUNTA($A20:$H20)&gt;0),"",IF(D20="","Missing category. ",IF(COUNTIF(Settings!$B$11:$B$40,D20)=0,"Category not in your list. ","")))</f>
        <v/>
      </c>
      <c r="N20" s="15" t="str">
        <f aca="false">IF(AND(ISNUMBER(A20),ISNUMBER(E20),B20&lt;&gt;""),IF(COUNTIFS($A$6:$A$505,A20,$B$6:$B$505,B20,$E$6:$E$505,E20)&gt;1,"Possible duplicate. ",""),"")</f>
        <v/>
      </c>
      <c r="O20" s="15" t="str">
        <f aca="false">IF(AND(ISNUMBER(E20),E20&gt;=Settings!$B$6,G20&lt;&gt;"Yes"),"Receipt not marked as saved. ","")</f>
        <v/>
      </c>
      <c r="P20" s="15" t="str">
        <f aca="false">IF(AND(ISNUMBER(E20),E20&gt;=Settings!$B$5),"Large amount: review. ","")</f>
        <v/>
      </c>
    </row>
    <row r="21" customFormat="false" ht="15" hidden="false" customHeight="false" outlineLevel="0" collapsed="false">
      <c r="A21" s="10"/>
      <c r="B21" s="11"/>
      <c r="C21" s="11"/>
      <c r="D21" s="11"/>
      <c r="E21" s="12"/>
      <c r="F21" s="11"/>
      <c r="G21" s="11"/>
      <c r="H21" s="11"/>
      <c r="I21" s="13" t="str">
        <f aca="false">IF(NOT(COUNTA($A21:$H21)&gt;0),"",IF(K21&amp;L21&amp;M21&lt;&gt;"","ERROR",IF(N21&amp;O21&amp;P21&lt;&gt;"","CHECK","OK")))</f>
        <v/>
      </c>
      <c r="J21" s="14" t="str">
        <f aca="false">TRIM(K21&amp;L21&amp;M21&amp;N21&amp;O21&amp;P21)</f>
        <v/>
      </c>
      <c r="K21" s="15" t="str">
        <f aca="true">IF(NOT(COUNTA($A21:$H21)&gt;0),"",IF(A21="","Missing date. ",IF(NOT(ISNUMBER(A21)),"Date is not a real date. ",IF(YEAR(A21)&lt;&gt;Settings!$B$4,"Date outside tax year. ",IF(A21&gt;TODAY(),"Date is in the future. ","")))))</f>
        <v/>
      </c>
      <c r="L21" s="15" t="str">
        <f aca="false">IF(NOT(COUNTA($A21:$H21)&gt;0),"",IF(E21="","Missing amount. ",IF(NOT(ISNUMBER(E21)),"Amount is not a number. ",IF(E21&lt;=0,"Amount must be above zero. ",""))))</f>
        <v/>
      </c>
      <c r="M21" s="15" t="str">
        <f aca="false">IF(NOT(COUNTA($A21:$H21)&gt;0),"",IF(D21="","Missing category. ",IF(COUNTIF(Settings!$B$11:$B$40,D21)=0,"Category not in your list. ","")))</f>
        <v/>
      </c>
      <c r="N21" s="15" t="str">
        <f aca="false">IF(AND(ISNUMBER(A21),ISNUMBER(E21),B21&lt;&gt;""),IF(COUNTIFS($A$6:$A$505,A21,$B$6:$B$505,B21,$E$6:$E$505,E21)&gt;1,"Possible duplicate. ",""),"")</f>
        <v/>
      </c>
      <c r="O21" s="15" t="str">
        <f aca="false">IF(AND(ISNUMBER(E21),E21&gt;=Settings!$B$6,G21&lt;&gt;"Yes"),"Receipt not marked as saved. ","")</f>
        <v/>
      </c>
      <c r="P21" s="15" t="str">
        <f aca="false">IF(AND(ISNUMBER(E21),E21&gt;=Settings!$B$5),"Large amount: review. ","")</f>
        <v/>
      </c>
    </row>
    <row r="22" customFormat="false" ht="15" hidden="false" customHeight="false" outlineLevel="0" collapsed="false">
      <c r="A22" s="10"/>
      <c r="B22" s="11"/>
      <c r="C22" s="11"/>
      <c r="D22" s="11"/>
      <c r="E22" s="12"/>
      <c r="F22" s="11"/>
      <c r="G22" s="11"/>
      <c r="H22" s="11"/>
      <c r="I22" s="13" t="str">
        <f aca="false">IF(NOT(COUNTA($A22:$H22)&gt;0),"",IF(K22&amp;L22&amp;M22&lt;&gt;"","ERROR",IF(N22&amp;O22&amp;P22&lt;&gt;"","CHECK","OK")))</f>
        <v/>
      </c>
      <c r="J22" s="14" t="str">
        <f aca="false">TRIM(K22&amp;L22&amp;M22&amp;N22&amp;O22&amp;P22)</f>
        <v/>
      </c>
      <c r="K22" s="15" t="str">
        <f aca="true">IF(NOT(COUNTA($A22:$H22)&gt;0),"",IF(A22="","Missing date. ",IF(NOT(ISNUMBER(A22)),"Date is not a real date. ",IF(YEAR(A22)&lt;&gt;Settings!$B$4,"Date outside tax year. ",IF(A22&gt;TODAY(),"Date is in the future. ","")))))</f>
        <v/>
      </c>
      <c r="L22" s="15" t="str">
        <f aca="false">IF(NOT(COUNTA($A22:$H22)&gt;0),"",IF(E22="","Missing amount. ",IF(NOT(ISNUMBER(E22)),"Amount is not a number. ",IF(E22&lt;=0,"Amount must be above zero. ",""))))</f>
        <v/>
      </c>
      <c r="M22" s="15" t="str">
        <f aca="false">IF(NOT(COUNTA($A22:$H22)&gt;0),"",IF(D22="","Missing category. ",IF(COUNTIF(Settings!$B$11:$B$40,D22)=0,"Category not in your list. ","")))</f>
        <v/>
      </c>
      <c r="N22" s="15" t="str">
        <f aca="false">IF(AND(ISNUMBER(A22),ISNUMBER(E22),B22&lt;&gt;""),IF(COUNTIFS($A$6:$A$505,A22,$B$6:$B$505,B22,$E$6:$E$505,E22)&gt;1,"Possible duplicate. ",""),"")</f>
        <v/>
      </c>
      <c r="O22" s="15" t="str">
        <f aca="false">IF(AND(ISNUMBER(E22),E22&gt;=Settings!$B$6,G22&lt;&gt;"Yes"),"Receipt not marked as saved. ","")</f>
        <v/>
      </c>
      <c r="P22" s="15" t="str">
        <f aca="false">IF(AND(ISNUMBER(E22),E22&gt;=Settings!$B$5),"Large amount: review. ","")</f>
        <v/>
      </c>
    </row>
    <row r="23" customFormat="false" ht="15" hidden="false" customHeight="false" outlineLevel="0" collapsed="false">
      <c r="A23" s="10"/>
      <c r="B23" s="11"/>
      <c r="C23" s="11"/>
      <c r="D23" s="11"/>
      <c r="E23" s="12"/>
      <c r="F23" s="11"/>
      <c r="G23" s="11"/>
      <c r="H23" s="11"/>
      <c r="I23" s="13" t="str">
        <f aca="false">IF(NOT(COUNTA($A23:$H23)&gt;0),"",IF(K23&amp;L23&amp;M23&lt;&gt;"","ERROR",IF(N23&amp;O23&amp;P23&lt;&gt;"","CHECK","OK")))</f>
        <v/>
      </c>
      <c r="J23" s="14" t="str">
        <f aca="false">TRIM(K23&amp;L23&amp;M23&amp;N23&amp;O23&amp;P23)</f>
        <v/>
      </c>
      <c r="K23" s="15" t="str">
        <f aca="true">IF(NOT(COUNTA($A23:$H23)&gt;0),"",IF(A23="","Missing date. ",IF(NOT(ISNUMBER(A23)),"Date is not a real date. ",IF(YEAR(A23)&lt;&gt;Settings!$B$4,"Date outside tax year. ",IF(A23&gt;TODAY(),"Date is in the future. ","")))))</f>
        <v/>
      </c>
      <c r="L23" s="15" t="str">
        <f aca="false">IF(NOT(COUNTA($A23:$H23)&gt;0),"",IF(E23="","Missing amount. ",IF(NOT(ISNUMBER(E23)),"Amount is not a number. ",IF(E23&lt;=0,"Amount must be above zero. ",""))))</f>
        <v/>
      </c>
      <c r="M23" s="15" t="str">
        <f aca="false">IF(NOT(COUNTA($A23:$H23)&gt;0),"",IF(D23="","Missing category. ",IF(COUNTIF(Settings!$B$11:$B$40,D23)=0,"Category not in your list. ","")))</f>
        <v/>
      </c>
      <c r="N23" s="15" t="str">
        <f aca="false">IF(AND(ISNUMBER(A23),ISNUMBER(E23),B23&lt;&gt;""),IF(COUNTIFS($A$6:$A$505,A23,$B$6:$B$505,B23,$E$6:$E$505,E23)&gt;1,"Possible duplicate. ",""),"")</f>
        <v/>
      </c>
      <c r="O23" s="15" t="str">
        <f aca="false">IF(AND(ISNUMBER(E23),E23&gt;=Settings!$B$6,G23&lt;&gt;"Yes"),"Receipt not marked as saved. ","")</f>
        <v/>
      </c>
      <c r="P23" s="15" t="str">
        <f aca="false">IF(AND(ISNUMBER(E23),E23&gt;=Settings!$B$5),"Large amount: review. ","")</f>
        <v/>
      </c>
    </row>
    <row r="24" customFormat="false" ht="15" hidden="false" customHeight="false" outlineLevel="0" collapsed="false">
      <c r="A24" s="10"/>
      <c r="B24" s="11"/>
      <c r="C24" s="11"/>
      <c r="D24" s="11"/>
      <c r="E24" s="12"/>
      <c r="F24" s="11"/>
      <c r="G24" s="11"/>
      <c r="H24" s="11"/>
      <c r="I24" s="13" t="str">
        <f aca="false">IF(NOT(COUNTA($A24:$H24)&gt;0),"",IF(K24&amp;L24&amp;M24&lt;&gt;"","ERROR",IF(N24&amp;O24&amp;P24&lt;&gt;"","CHECK","OK")))</f>
        <v/>
      </c>
      <c r="J24" s="14" t="str">
        <f aca="false">TRIM(K24&amp;L24&amp;M24&amp;N24&amp;O24&amp;P24)</f>
        <v/>
      </c>
      <c r="K24" s="15" t="str">
        <f aca="true">IF(NOT(COUNTA($A24:$H24)&gt;0),"",IF(A24="","Missing date. ",IF(NOT(ISNUMBER(A24)),"Date is not a real date. ",IF(YEAR(A24)&lt;&gt;Settings!$B$4,"Date outside tax year. ",IF(A24&gt;TODAY(),"Date is in the future. ","")))))</f>
        <v/>
      </c>
      <c r="L24" s="15" t="str">
        <f aca="false">IF(NOT(COUNTA($A24:$H24)&gt;0),"",IF(E24="","Missing amount. ",IF(NOT(ISNUMBER(E24)),"Amount is not a number. ",IF(E24&lt;=0,"Amount must be above zero. ",""))))</f>
        <v/>
      </c>
      <c r="M24" s="15" t="str">
        <f aca="false">IF(NOT(COUNTA($A24:$H24)&gt;0),"",IF(D24="","Missing category. ",IF(COUNTIF(Settings!$B$11:$B$40,D24)=0,"Category not in your list. ","")))</f>
        <v/>
      </c>
      <c r="N24" s="15" t="str">
        <f aca="false">IF(AND(ISNUMBER(A24),ISNUMBER(E24),B24&lt;&gt;""),IF(COUNTIFS($A$6:$A$505,A24,$B$6:$B$505,B24,$E$6:$E$505,E24)&gt;1,"Possible duplicate. ",""),"")</f>
        <v/>
      </c>
      <c r="O24" s="15" t="str">
        <f aca="false">IF(AND(ISNUMBER(E24),E24&gt;=Settings!$B$6,G24&lt;&gt;"Yes"),"Receipt not marked as saved. ","")</f>
        <v/>
      </c>
      <c r="P24" s="15" t="str">
        <f aca="false">IF(AND(ISNUMBER(E24),E24&gt;=Settings!$B$5),"Large amount: review. ","")</f>
        <v/>
      </c>
    </row>
    <row r="25" customFormat="false" ht="15" hidden="false" customHeight="false" outlineLevel="0" collapsed="false">
      <c r="A25" s="10"/>
      <c r="B25" s="11"/>
      <c r="C25" s="11"/>
      <c r="D25" s="11"/>
      <c r="E25" s="12"/>
      <c r="F25" s="11"/>
      <c r="G25" s="11"/>
      <c r="H25" s="11"/>
      <c r="I25" s="13" t="str">
        <f aca="false">IF(NOT(COUNTA($A25:$H25)&gt;0),"",IF(K25&amp;L25&amp;M25&lt;&gt;"","ERROR",IF(N25&amp;O25&amp;P25&lt;&gt;"","CHECK","OK")))</f>
        <v/>
      </c>
      <c r="J25" s="14" t="str">
        <f aca="false">TRIM(K25&amp;L25&amp;M25&amp;N25&amp;O25&amp;P25)</f>
        <v/>
      </c>
      <c r="K25" s="15" t="str">
        <f aca="true">IF(NOT(COUNTA($A25:$H25)&gt;0),"",IF(A25="","Missing date. ",IF(NOT(ISNUMBER(A25)),"Date is not a real date. ",IF(YEAR(A25)&lt;&gt;Settings!$B$4,"Date outside tax year. ",IF(A25&gt;TODAY(),"Date is in the future. ","")))))</f>
        <v/>
      </c>
      <c r="L25" s="15" t="str">
        <f aca="false">IF(NOT(COUNTA($A25:$H25)&gt;0),"",IF(E25="","Missing amount. ",IF(NOT(ISNUMBER(E25)),"Amount is not a number. ",IF(E25&lt;=0,"Amount must be above zero. ",""))))</f>
        <v/>
      </c>
      <c r="M25" s="15" t="str">
        <f aca="false">IF(NOT(COUNTA($A25:$H25)&gt;0),"",IF(D25="","Missing category. ",IF(COUNTIF(Settings!$B$11:$B$40,D25)=0,"Category not in your list. ","")))</f>
        <v/>
      </c>
      <c r="N25" s="15" t="str">
        <f aca="false">IF(AND(ISNUMBER(A25),ISNUMBER(E25),B25&lt;&gt;""),IF(COUNTIFS($A$6:$A$505,A25,$B$6:$B$505,B25,$E$6:$E$505,E25)&gt;1,"Possible duplicate. ",""),"")</f>
        <v/>
      </c>
      <c r="O25" s="15" t="str">
        <f aca="false">IF(AND(ISNUMBER(E25),E25&gt;=Settings!$B$6,G25&lt;&gt;"Yes"),"Receipt not marked as saved. ","")</f>
        <v/>
      </c>
      <c r="P25" s="15" t="str">
        <f aca="false">IF(AND(ISNUMBER(E25),E25&gt;=Settings!$B$5),"Large amount: review. ","")</f>
        <v/>
      </c>
    </row>
    <row r="26" customFormat="false" ht="15" hidden="false" customHeight="false" outlineLevel="0" collapsed="false">
      <c r="A26" s="10"/>
      <c r="B26" s="11"/>
      <c r="C26" s="11"/>
      <c r="D26" s="11"/>
      <c r="E26" s="12"/>
      <c r="F26" s="11"/>
      <c r="G26" s="11"/>
      <c r="H26" s="11"/>
      <c r="I26" s="13" t="str">
        <f aca="false">IF(NOT(COUNTA($A26:$H26)&gt;0),"",IF(K26&amp;L26&amp;M26&lt;&gt;"","ERROR",IF(N26&amp;O26&amp;P26&lt;&gt;"","CHECK","OK")))</f>
        <v/>
      </c>
      <c r="J26" s="14" t="str">
        <f aca="false">TRIM(K26&amp;L26&amp;M26&amp;N26&amp;O26&amp;P26)</f>
        <v/>
      </c>
      <c r="K26" s="15" t="str">
        <f aca="true">IF(NOT(COUNTA($A26:$H26)&gt;0),"",IF(A26="","Missing date. ",IF(NOT(ISNUMBER(A26)),"Date is not a real date. ",IF(YEAR(A26)&lt;&gt;Settings!$B$4,"Date outside tax year. ",IF(A26&gt;TODAY(),"Date is in the future. ","")))))</f>
        <v/>
      </c>
      <c r="L26" s="15" t="str">
        <f aca="false">IF(NOT(COUNTA($A26:$H26)&gt;0),"",IF(E26="","Missing amount. ",IF(NOT(ISNUMBER(E26)),"Amount is not a number. ",IF(E26&lt;=0,"Amount must be above zero. ",""))))</f>
        <v/>
      </c>
      <c r="M26" s="15" t="str">
        <f aca="false">IF(NOT(COUNTA($A26:$H26)&gt;0),"",IF(D26="","Missing category. ",IF(COUNTIF(Settings!$B$11:$B$40,D26)=0,"Category not in your list. ","")))</f>
        <v/>
      </c>
      <c r="N26" s="15" t="str">
        <f aca="false">IF(AND(ISNUMBER(A26),ISNUMBER(E26),B26&lt;&gt;""),IF(COUNTIFS($A$6:$A$505,A26,$B$6:$B$505,B26,$E$6:$E$505,E26)&gt;1,"Possible duplicate. ",""),"")</f>
        <v/>
      </c>
      <c r="O26" s="15" t="str">
        <f aca="false">IF(AND(ISNUMBER(E26),E26&gt;=Settings!$B$6,G26&lt;&gt;"Yes"),"Receipt not marked as saved. ","")</f>
        <v/>
      </c>
      <c r="P26" s="15" t="str">
        <f aca="false">IF(AND(ISNUMBER(E26),E26&gt;=Settings!$B$5),"Large amount: review. ","")</f>
        <v/>
      </c>
    </row>
    <row r="27" customFormat="false" ht="15" hidden="false" customHeight="false" outlineLevel="0" collapsed="false">
      <c r="A27" s="10"/>
      <c r="B27" s="11"/>
      <c r="C27" s="11"/>
      <c r="D27" s="11"/>
      <c r="E27" s="12"/>
      <c r="F27" s="11"/>
      <c r="G27" s="11"/>
      <c r="H27" s="11"/>
      <c r="I27" s="13" t="str">
        <f aca="false">IF(NOT(COUNTA($A27:$H27)&gt;0),"",IF(K27&amp;L27&amp;M27&lt;&gt;"","ERROR",IF(N27&amp;O27&amp;P27&lt;&gt;"","CHECK","OK")))</f>
        <v/>
      </c>
      <c r="J27" s="14" t="str">
        <f aca="false">TRIM(K27&amp;L27&amp;M27&amp;N27&amp;O27&amp;P27)</f>
        <v/>
      </c>
      <c r="K27" s="15" t="str">
        <f aca="true">IF(NOT(COUNTA($A27:$H27)&gt;0),"",IF(A27="","Missing date. ",IF(NOT(ISNUMBER(A27)),"Date is not a real date. ",IF(YEAR(A27)&lt;&gt;Settings!$B$4,"Date outside tax year. ",IF(A27&gt;TODAY(),"Date is in the future. ","")))))</f>
        <v/>
      </c>
      <c r="L27" s="15" t="str">
        <f aca="false">IF(NOT(COUNTA($A27:$H27)&gt;0),"",IF(E27="","Missing amount. ",IF(NOT(ISNUMBER(E27)),"Amount is not a number. ",IF(E27&lt;=0,"Amount must be above zero. ",""))))</f>
        <v/>
      </c>
      <c r="M27" s="15" t="str">
        <f aca="false">IF(NOT(COUNTA($A27:$H27)&gt;0),"",IF(D27="","Missing category. ",IF(COUNTIF(Settings!$B$11:$B$40,D27)=0,"Category not in your list. ","")))</f>
        <v/>
      </c>
      <c r="N27" s="15" t="str">
        <f aca="false">IF(AND(ISNUMBER(A27),ISNUMBER(E27),B27&lt;&gt;""),IF(COUNTIFS($A$6:$A$505,A27,$B$6:$B$505,B27,$E$6:$E$505,E27)&gt;1,"Possible duplicate. ",""),"")</f>
        <v/>
      </c>
      <c r="O27" s="15" t="str">
        <f aca="false">IF(AND(ISNUMBER(E27),E27&gt;=Settings!$B$6,G27&lt;&gt;"Yes"),"Receipt not marked as saved. ","")</f>
        <v/>
      </c>
      <c r="P27" s="15" t="str">
        <f aca="false">IF(AND(ISNUMBER(E27),E27&gt;=Settings!$B$5),"Large amount: review. ","")</f>
        <v/>
      </c>
    </row>
    <row r="28" customFormat="false" ht="15" hidden="false" customHeight="false" outlineLevel="0" collapsed="false">
      <c r="A28" s="10"/>
      <c r="B28" s="11"/>
      <c r="C28" s="11"/>
      <c r="D28" s="11"/>
      <c r="E28" s="12"/>
      <c r="F28" s="11"/>
      <c r="G28" s="11"/>
      <c r="H28" s="11"/>
      <c r="I28" s="13" t="str">
        <f aca="false">IF(NOT(COUNTA($A28:$H28)&gt;0),"",IF(K28&amp;L28&amp;M28&lt;&gt;"","ERROR",IF(N28&amp;O28&amp;P28&lt;&gt;"","CHECK","OK")))</f>
        <v/>
      </c>
      <c r="J28" s="14" t="str">
        <f aca="false">TRIM(K28&amp;L28&amp;M28&amp;N28&amp;O28&amp;P28)</f>
        <v/>
      </c>
      <c r="K28" s="15" t="str">
        <f aca="true">IF(NOT(COUNTA($A28:$H28)&gt;0),"",IF(A28="","Missing date. ",IF(NOT(ISNUMBER(A28)),"Date is not a real date. ",IF(YEAR(A28)&lt;&gt;Settings!$B$4,"Date outside tax year. ",IF(A28&gt;TODAY(),"Date is in the future. ","")))))</f>
        <v/>
      </c>
      <c r="L28" s="15" t="str">
        <f aca="false">IF(NOT(COUNTA($A28:$H28)&gt;0),"",IF(E28="","Missing amount. ",IF(NOT(ISNUMBER(E28)),"Amount is not a number. ",IF(E28&lt;=0,"Amount must be above zero. ",""))))</f>
        <v/>
      </c>
      <c r="M28" s="15" t="str">
        <f aca="false">IF(NOT(COUNTA($A28:$H28)&gt;0),"",IF(D28="","Missing category. ",IF(COUNTIF(Settings!$B$11:$B$40,D28)=0,"Category not in your list. ","")))</f>
        <v/>
      </c>
      <c r="N28" s="15" t="str">
        <f aca="false">IF(AND(ISNUMBER(A28),ISNUMBER(E28),B28&lt;&gt;""),IF(COUNTIFS($A$6:$A$505,A28,$B$6:$B$505,B28,$E$6:$E$505,E28)&gt;1,"Possible duplicate. ",""),"")</f>
        <v/>
      </c>
      <c r="O28" s="15" t="str">
        <f aca="false">IF(AND(ISNUMBER(E28),E28&gt;=Settings!$B$6,G28&lt;&gt;"Yes"),"Receipt not marked as saved. ","")</f>
        <v/>
      </c>
      <c r="P28" s="15" t="str">
        <f aca="false">IF(AND(ISNUMBER(E28),E28&gt;=Settings!$B$5),"Large amount: review. ","")</f>
        <v/>
      </c>
    </row>
    <row r="29" customFormat="false" ht="15" hidden="false" customHeight="false" outlineLevel="0" collapsed="false">
      <c r="A29" s="10"/>
      <c r="B29" s="11"/>
      <c r="C29" s="11"/>
      <c r="D29" s="11"/>
      <c r="E29" s="12"/>
      <c r="F29" s="11"/>
      <c r="G29" s="11"/>
      <c r="H29" s="11"/>
      <c r="I29" s="13" t="str">
        <f aca="false">IF(NOT(COUNTA($A29:$H29)&gt;0),"",IF(K29&amp;L29&amp;M29&lt;&gt;"","ERROR",IF(N29&amp;O29&amp;P29&lt;&gt;"","CHECK","OK")))</f>
        <v/>
      </c>
      <c r="J29" s="14" t="str">
        <f aca="false">TRIM(K29&amp;L29&amp;M29&amp;N29&amp;O29&amp;P29)</f>
        <v/>
      </c>
      <c r="K29" s="15" t="str">
        <f aca="true">IF(NOT(COUNTA($A29:$H29)&gt;0),"",IF(A29="","Missing date. ",IF(NOT(ISNUMBER(A29)),"Date is not a real date. ",IF(YEAR(A29)&lt;&gt;Settings!$B$4,"Date outside tax year. ",IF(A29&gt;TODAY(),"Date is in the future. ","")))))</f>
        <v/>
      </c>
      <c r="L29" s="15" t="str">
        <f aca="false">IF(NOT(COUNTA($A29:$H29)&gt;0),"",IF(E29="","Missing amount. ",IF(NOT(ISNUMBER(E29)),"Amount is not a number. ",IF(E29&lt;=0,"Amount must be above zero. ",""))))</f>
        <v/>
      </c>
      <c r="M29" s="15" t="str">
        <f aca="false">IF(NOT(COUNTA($A29:$H29)&gt;0),"",IF(D29="","Missing category. ",IF(COUNTIF(Settings!$B$11:$B$40,D29)=0,"Category not in your list. ","")))</f>
        <v/>
      </c>
      <c r="N29" s="15" t="str">
        <f aca="false">IF(AND(ISNUMBER(A29),ISNUMBER(E29),B29&lt;&gt;""),IF(COUNTIFS($A$6:$A$505,A29,$B$6:$B$505,B29,$E$6:$E$505,E29)&gt;1,"Possible duplicate. ",""),"")</f>
        <v/>
      </c>
      <c r="O29" s="15" t="str">
        <f aca="false">IF(AND(ISNUMBER(E29),E29&gt;=Settings!$B$6,G29&lt;&gt;"Yes"),"Receipt not marked as saved. ","")</f>
        <v/>
      </c>
      <c r="P29" s="15" t="str">
        <f aca="false">IF(AND(ISNUMBER(E29),E29&gt;=Settings!$B$5),"Large amount: review. ","")</f>
        <v/>
      </c>
    </row>
    <row r="30" customFormat="false" ht="15" hidden="false" customHeight="false" outlineLevel="0" collapsed="false">
      <c r="A30" s="10"/>
      <c r="B30" s="11"/>
      <c r="C30" s="11"/>
      <c r="D30" s="11"/>
      <c r="E30" s="12"/>
      <c r="F30" s="11"/>
      <c r="G30" s="11"/>
      <c r="H30" s="11"/>
      <c r="I30" s="13" t="str">
        <f aca="false">IF(NOT(COUNTA($A30:$H30)&gt;0),"",IF(K30&amp;L30&amp;M30&lt;&gt;"","ERROR",IF(N30&amp;O30&amp;P30&lt;&gt;"","CHECK","OK")))</f>
        <v/>
      </c>
      <c r="J30" s="14" t="str">
        <f aca="false">TRIM(K30&amp;L30&amp;M30&amp;N30&amp;O30&amp;P30)</f>
        <v/>
      </c>
      <c r="K30" s="15" t="str">
        <f aca="true">IF(NOT(COUNTA($A30:$H30)&gt;0),"",IF(A30="","Missing date. ",IF(NOT(ISNUMBER(A30)),"Date is not a real date. ",IF(YEAR(A30)&lt;&gt;Settings!$B$4,"Date outside tax year. ",IF(A30&gt;TODAY(),"Date is in the future. ","")))))</f>
        <v/>
      </c>
      <c r="L30" s="15" t="str">
        <f aca="false">IF(NOT(COUNTA($A30:$H30)&gt;0),"",IF(E30="","Missing amount. ",IF(NOT(ISNUMBER(E30)),"Amount is not a number. ",IF(E30&lt;=0,"Amount must be above zero. ",""))))</f>
        <v/>
      </c>
      <c r="M30" s="15" t="str">
        <f aca="false">IF(NOT(COUNTA($A30:$H30)&gt;0),"",IF(D30="","Missing category. ",IF(COUNTIF(Settings!$B$11:$B$40,D30)=0,"Category not in your list. ","")))</f>
        <v/>
      </c>
      <c r="N30" s="15" t="str">
        <f aca="false">IF(AND(ISNUMBER(A30),ISNUMBER(E30),B30&lt;&gt;""),IF(COUNTIFS($A$6:$A$505,A30,$B$6:$B$505,B30,$E$6:$E$505,E30)&gt;1,"Possible duplicate. ",""),"")</f>
        <v/>
      </c>
      <c r="O30" s="15" t="str">
        <f aca="false">IF(AND(ISNUMBER(E30),E30&gt;=Settings!$B$6,G30&lt;&gt;"Yes"),"Receipt not marked as saved. ","")</f>
        <v/>
      </c>
      <c r="P30" s="15" t="str">
        <f aca="false">IF(AND(ISNUMBER(E30),E30&gt;=Settings!$B$5),"Large amount: review. ","")</f>
        <v/>
      </c>
    </row>
    <row r="31" customFormat="false" ht="15" hidden="false" customHeight="false" outlineLevel="0" collapsed="false">
      <c r="A31" s="10"/>
      <c r="B31" s="11"/>
      <c r="C31" s="11"/>
      <c r="D31" s="11"/>
      <c r="E31" s="12"/>
      <c r="F31" s="11"/>
      <c r="G31" s="11"/>
      <c r="H31" s="11"/>
      <c r="I31" s="13" t="str">
        <f aca="false">IF(NOT(COUNTA($A31:$H31)&gt;0),"",IF(K31&amp;L31&amp;M31&lt;&gt;"","ERROR",IF(N31&amp;O31&amp;P31&lt;&gt;"","CHECK","OK")))</f>
        <v/>
      </c>
      <c r="J31" s="14" t="str">
        <f aca="false">TRIM(K31&amp;L31&amp;M31&amp;N31&amp;O31&amp;P31)</f>
        <v/>
      </c>
      <c r="K31" s="15" t="str">
        <f aca="true">IF(NOT(COUNTA($A31:$H31)&gt;0),"",IF(A31="","Missing date. ",IF(NOT(ISNUMBER(A31)),"Date is not a real date. ",IF(YEAR(A31)&lt;&gt;Settings!$B$4,"Date outside tax year. ",IF(A31&gt;TODAY(),"Date is in the future. ","")))))</f>
        <v/>
      </c>
      <c r="L31" s="15" t="str">
        <f aca="false">IF(NOT(COUNTA($A31:$H31)&gt;0),"",IF(E31="","Missing amount. ",IF(NOT(ISNUMBER(E31)),"Amount is not a number. ",IF(E31&lt;=0,"Amount must be above zero. ",""))))</f>
        <v/>
      </c>
      <c r="M31" s="15" t="str">
        <f aca="false">IF(NOT(COUNTA($A31:$H31)&gt;0),"",IF(D31="","Missing category. ",IF(COUNTIF(Settings!$B$11:$B$40,D31)=0,"Category not in your list. ","")))</f>
        <v/>
      </c>
      <c r="N31" s="15" t="str">
        <f aca="false">IF(AND(ISNUMBER(A31),ISNUMBER(E31),B31&lt;&gt;""),IF(COUNTIFS($A$6:$A$505,A31,$B$6:$B$505,B31,$E$6:$E$505,E31)&gt;1,"Possible duplicate. ",""),"")</f>
        <v/>
      </c>
      <c r="O31" s="15" t="str">
        <f aca="false">IF(AND(ISNUMBER(E31),E31&gt;=Settings!$B$6,G31&lt;&gt;"Yes"),"Receipt not marked as saved. ","")</f>
        <v/>
      </c>
      <c r="P31" s="15" t="str">
        <f aca="false">IF(AND(ISNUMBER(E31),E31&gt;=Settings!$B$5),"Large amount: review. ","")</f>
        <v/>
      </c>
    </row>
    <row r="32" customFormat="false" ht="15" hidden="false" customHeight="false" outlineLevel="0" collapsed="false">
      <c r="A32" s="10"/>
      <c r="B32" s="11"/>
      <c r="C32" s="11"/>
      <c r="D32" s="11"/>
      <c r="E32" s="12"/>
      <c r="F32" s="11"/>
      <c r="G32" s="11"/>
      <c r="H32" s="11"/>
      <c r="I32" s="13" t="str">
        <f aca="false">IF(NOT(COUNTA($A32:$H32)&gt;0),"",IF(K32&amp;L32&amp;M32&lt;&gt;"","ERROR",IF(N32&amp;O32&amp;P32&lt;&gt;"","CHECK","OK")))</f>
        <v/>
      </c>
      <c r="J32" s="14" t="str">
        <f aca="false">TRIM(K32&amp;L32&amp;M32&amp;N32&amp;O32&amp;P32)</f>
        <v/>
      </c>
      <c r="K32" s="15" t="str">
        <f aca="true">IF(NOT(COUNTA($A32:$H32)&gt;0),"",IF(A32="","Missing date. ",IF(NOT(ISNUMBER(A32)),"Date is not a real date. ",IF(YEAR(A32)&lt;&gt;Settings!$B$4,"Date outside tax year. ",IF(A32&gt;TODAY(),"Date is in the future. ","")))))</f>
        <v/>
      </c>
      <c r="L32" s="15" t="str">
        <f aca="false">IF(NOT(COUNTA($A32:$H32)&gt;0),"",IF(E32="","Missing amount. ",IF(NOT(ISNUMBER(E32)),"Amount is not a number. ",IF(E32&lt;=0,"Amount must be above zero. ",""))))</f>
        <v/>
      </c>
      <c r="M32" s="15" t="str">
        <f aca="false">IF(NOT(COUNTA($A32:$H32)&gt;0),"",IF(D32="","Missing category. ",IF(COUNTIF(Settings!$B$11:$B$40,D32)=0,"Category not in your list. ","")))</f>
        <v/>
      </c>
      <c r="N32" s="15" t="str">
        <f aca="false">IF(AND(ISNUMBER(A32),ISNUMBER(E32),B32&lt;&gt;""),IF(COUNTIFS($A$6:$A$505,A32,$B$6:$B$505,B32,$E$6:$E$505,E32)&gt;1,"Possible duplicate. ",""),"")</f>
        <v/>
      </c>
      <c r="O32" s="15" t="str">
        <f aca="false">IF(AND(ISNUMBER(E32),E32&gt;=Settings!$B$6,G32&lt;&gt;"Yes"),"Receipt not marked as saved. ","")</f>
        <v/>
      </c>
      <c r="P32" s="15" t="str">
        <f aca="false">IF(AND(ISNUMBER(E32),E32&gt;=Settings!$B$5),"Large amount: review. ","")</f>
        <v/>
      </c>
    </row>
    <row r="33" customFormat="false" ht="15" hidden="false" customHeight="false" outlineLevel="0" collapsed="false">
      <c r="A33" s="10"/>
      <c r="B33" s="11"/>
      <c r="C33" s="11"/>
      <c r="D33" s="11"/>
      <c r="E33" s="12"/>
      <c r="F33" s="11"/>
      <c r="G33" s="11"/>
      <c r="H33" s="11"/>
      <c r="I33" s="13" t="str">
        <f aca="false">IF(NOT(COUNTA($A33:$H33)&gt;0),"",IF(K33&amp;L33&amp;M33&lt;&gt;"","ERROR",IF(N33&amp;O33&amp;P33&lt;&gt;"","CHECK","OK")))</f>
        <v/>
      </c>
      <c r="J33" s="14" t="str">
        <f aca="false">TRIM(K33&amp;L33&amp;M33&amp;N33&amp;O33&amp;P33)</f>
        <v/>
      </c>
      <c r="K33" s="15" t="str">
        <f aca="true">IF(NOT(COUNTA($A33:$H33)&gt;0),"",IF(A33="","Missing date. ",IF(NOT(ISNUMBER(A33)),"Date is not a real date. ",IF(YEAR(A33)&lt;&gt;Settings!$B$4,"Date outside tax year. ",IF(A33&gt;TODAY(),"Date is in the future. ","")))))</f>
        <v/>
      </c>
      <c r="L33" s="15" t="str">
        <f aca="false">IF(NOT(COUNTA($A33:$H33)&gt;0),"",IF(E33="","Missing amount. ",IF(NOT(ISNUMBER(E33)),"Amount is not a number. ",IF(E33&lt;=0,"Amount must be above zero. ",""))))</f>
        <v/>
      </c>
      <c r="M33" s="15" t="str">
        <f aca="false">IF(NOT(COUNTA($A33:$H33)&gt;0),"",IF(D33="","Missing category. ",IF(COUNTIF(Settings!$B$11:$B$40,D33)=0,"Category not in your list. ","")))</f>
        <v/>
      </c>
      <c r="N33" s="15" t="str">
        <f aca="false">IF(AND(ISNUMBER(A33),ISNUMBER(E33),B33&lt;&gt;""),IF(COUNTIFS($A$6:$A$505,A33,$B$6:$B$505,B33,$E$6:$E$505,E33)&gt;1,"Possible duplicate. ",""),"")</f>
        <v/>
      </c>
      <c r="O33" s="15" t="str">
        <f aca="false">IF(AND(ISNUMBER(E33),E33&gt;=Settings!$B$6,G33&lt;&gt;"Yes"),"Receipt not marked as saved. ","")</f>
        <v/>
      </c>
      <c r="P33" s="15" t="str">
        <f aca="false">IF(AND(ISNUMBER(E33),E33&gt;=Settings!$B$5),"Large amount: review. ","")</f>
        <v/>
      </c>
    </row>
    <row r="34" customFormat="false" ht="15" hidden="false" customHeight="false" outlineLevel="0" collapsed="false">
      <c r="A34" s="10"/>
      <c r="B34" s="11"/>
      <c r="C34" s="11"/>
      <c r="D34" s="11"/>
      <c r="E34" s="12"/>
      <c r="F34" s="11"/>
      <c r="G34" s="11"/>
      <c r="H34" s="11"/>
      <c r="I34" s="13" t="str">
        <f aca="false">IF(NOT(COUNTA($A34:$H34)&gt;0),"",IF(K34&amp;L34&amp;M34&lt;&gt;"","ERROR",IF(N34&amp;O34&amp;P34&lt;&gt;"","CHECK","OK")))</f>
        <v/>
      </c>
      <c r="J34" s="14" t="str">
        <f aca="false">TRIM(K34&amp;L34&amp;M34&amp;N34&amp;O34&amp;P34)</f>
        <v/>
      </c>
      <c r="K34" s="15" t="str">
        <f aca="true">IF(NOT(COUNTA($A34:$H34)&gt;0),"",IF(A34="","Missing date. ",IF(NOT(ISNUMBER(A34)),"Date is not a real date. ",IF(YEAR(A34)&lt;&gt;Settings!$B$4,"Date outside tax year. ",IF(A34&gt;TODAY(),"Date is in the future. ","")))))</f>
        <v/>
      </c>
      <c r="L34" s="15" t="str">
        <f aca="false">IF(NOT(COUNTA($A34:$H34)&gt;0),"",IF(E34="","Missing amount. ",IF(NOT(ISNUMBER(E34)),"Amount is not a number. ",IF(E34&lt;=0,"Amount must be above zero. ",""))))</f>
        <v/>
      </c>
      <c r="M34" s="15" t="str">
        <f aca="false">IF(NOT(COUNTA($A34:$H34)&gt;0),"",IF(D34="","Missing category. ",IF(COUNTIF(Settings!$B$11:$B$40,D34)=0,"Category not in your list. ","")))</f>
        <v/>
      </c>
      <c r="N34" s="15" t="str">
        <f aca="false">IF(AND(ISNUMBER(A34),ISNUMBER(E34),B34&lt;&gt;""),IF(COUNTIFS($A$6:$A$505,A34,$B$6:$B$505,B34,$E$6:$E$505,E34)&gt;1,"Possible duplicate. ",""),"")</f>
        <v/>
      </c>
      <c r="O34" s="15" t="str">
        <f aca="false">IF(AND(ISNUMBER(E34),E34&gt;=Settings!$B$6,G34&lt;&gt;"Yes"),"Receipt not marked as saved. ","")</f>
        <v/>
      </c>
      <c r="P34" s="15" t="str">
        <f aca="false">IF(AND(ISNUMBER(E34),E34&gt;=Settings!$B$5),"Large amount: review. ","")</f>
        <v/>
      </c>
    </row>
    <row r="35" customFormat="false" ht="15" hidden="false" customHeight="false" outlineLevel="0" collapsed="false">
      <c r="A35" s="10"/>
      <c r="B35" s="11"/>
      <c r="C35" s="11"/>
      <c r="D35" s="11"/>
      <c r="E35" s="12"/>
      <c r="F35" s="11"/>
      <c r="G35" s="11"/>
      <c r="H35" s="11"/>
      <c r="I35" s="13" t="str">
        <f aca="false">IF(NOT(COUNTA($A35:$H35)&gt;0),"",IF(K35&amp;L35&amp;M35&lt;&gt;"","ERROR",IF(N35&amp;O35&amp;P35&lt;&gt;"","CHECK","OK")))</f>
        <v/>
      </c>
      <c r="J35" s="14" t="str">
        <f aca="false">TRIM(K35&amp;L35&amp;M35&amp;N35&amp;O35&amp;P35)</f>
        <v/>
      </c>
      <c r="K35" s="15" t="str">
        <f aca="true">IF(NOT(COUNTA($A35:$H35)&gt;0),"",IF(A35="","Missing date. ",IF(NOT(ISNUMBER(A35)),"Date is not a real date. ",IF(YEAR(A35)&lt;&gt;Settings!$B$4,"Date outside tax year. ",IF(A35&gt;TODAY(),"Date is in the future. ","")))))</f>
        <v/>
      </c>
      <c r="L35" s="15" t="str">
        <f aca="false">IF(NOT(COUNTA($A35:$H35)&gt;0),"",IF(E35="","Missing amount. ",IF(NOT(ISNUMBER(E35)),"Amount is not a number. ",IF(E35&lt;=0,"Amount must be above zero. ",""))))</f>
        <v/>
      </c>
      <c r="M35" s="15" t="str">
        <f aca="false">IF(NOT(COUNTA($A35:$H35)&gt;0),"",IF(D35="","Missing category. ",IF(COUNTIF(Settings!$B$11:$B$40,D35)=0,"Category not in your list. ","")))</f>
        <v/>
      </c>
      <c r="N35" s="15" t="str">
        <f aca="false">IF(AND(ISNUMBER(A35),ISNUMBER(E35),B35&lt;&gt;""),IF(COUNTIFS($A$6:$A$505,A35,$B$6:$B$505,B35,$E$6:$E$505,E35)&gt;1,"Possible duplicate. ",""),"")</f>
        <v/>
      </c>
      <c r="O35" s="15" t="str">
        <f aca="false">IF(AND(ISNUMBER(E35),E35&gt;=Settings!$B$6,G35&lt;&gt;"Yes"),"Receipt not marked as saved. ","")</f>
        <v/>
      </c>
      <c r="P35" s="15" t="str">
        <f aca="false">IF(AND(ISNUMBER(E35),E35&gt;=Settings!$B$5),"Large amount: review. ","")</f>
        <v/>
      </c>
    </row>
    <row r="36" customFormat="false" ht="15" hidden="false" customHeight="false" outlineLevel="0" collapsed="false">
      <c r="A36" s="10"/>
      <c r="B36" s="11"/>
      <c r="C36" s="11"/>
      <c r="D36" s="11"/>
      <c r="E36" s="12"/>
      <c r="F36" s="11"/>
      <c r="G36" s="11"/>
      <c r="H36" s="11"/>
      <c r="I36" s="13" t="str">
        <f aca="false">IF(NOT(COUNTA($A36:$H36)&gt;0),"",IF(K36&amp;L36&amp;M36&lt;&gt;"","ERROR",IF(N36&amp;O36&amp;P36&lt;&gt;"","CHECK","OK")))</f>
        <v/>
      </c>
      <c r="J36" s="14" t="str">
        <f aca="false">TRIM(K36&amp;L36&amp;M36&amp;N36&amp;O36&amp;P36)</f>
        <v/>
      </c>
      <c r="K36" s="15" t="str">
        <f aca="true">IF(NOT(COUNTA($A36:$H36)&gt;0),"",IF(A36="","Missing date. ",IF(NOT(ISNUMBER(A36)),"Date is not a real date. ",IF(YEAR(A36)&lt;&gt;Settings!$B$4,"Date outside tax year. ",IF(A36&gt;TODAY(),"Date is in the future. ","")))))</f>
        <v/>
      </c>
      <c r="L36" s="15" t="str">
        <f aca="false">IF(NOT(COUNTA($A36:$H36)&gt;0),"",IF(E36="","Missing amount. ",IF(NOT(ISNUMBER(E36)),"Amount is not a number. ",IF(E36&lt;=0,"Amount must be above zero. ",""))))</f>
        <v/>
      </c>
      <c r="M36" s="15" t="str">
        <f aca="false">IF(NOT(COUNTA($A36:$H36)&gt;0),"",IF(D36="","Missing category. ",IF(COUNTIF(Settings!$B$11:$B$40,D36)=0,"Category not in your list. ","")))</f>
        <v/>
      </c>
      <c r="N36" s="15" t="str">
        <f aca="false">IF(AND(ISNUMBER(A36),ISNUMBER(E36),B36&lt;&gt;""),IF(COUNTIFS($A$6:$A$505,A36,$B$6:$B$505,B36,$E$6:$E$505,E36)&gt;1,"Possible duplicate. ",""),"")</f>
        <v/>
      </c>
      <c r="O36" s="15" t="str">
        <f aca="false">IF(AND(ISNUMBER(E36),E36&gt;=Settings!$B$6,G36&lt;&gt;"Yes"),"Receipt not marked as saved. ","")</f>
        <v/>
      </c>
      <c r="P36" s="15" t="str">
        <f aca="false">IF(AND(ISNUMBER(E36),E36&gt;=Settings!$B$5),"Large amount: review. ","")</f>
        <v/>
      </c>
    </row>
    <row r="37" customFormat="false" ht="15" hidden="false" customHeight="false" outlineLevel="0" collapsed="false">
      <c r="A37" s="10"/>
      <c r="B37" s="11"/>
      <c r="C37" s="11"/>
      <c r="D37" s="11"/>
      <c r="E37" s="12"/>
      <c r="F37" s="11"/>
      <c r="G37" s="11"/>
      <c r="H37" s="11"/>
      <c r="I37" s="13" t="str">
        <f aca="false">IF(NOT(COUNTA($A37:$H37)&gt;0),"",IF(K37&amp;L37&amp;M37&lt;&gt;"","ERROR",IF(N37&amp;O37&amp;P37&lt;&gt;"","CHECK","OK")))</f>
        <v/>
      </c>
      <c r="J37" s="14" t="str">
        <f aca="false">TRIM(K37&amp;L37&amp;M37&amp;N37&amp;O37&amp;P37)</f>
        <v/>
      </c>
      <c r="K37" s="15" t="str">
        <f aca="true">IF(NOT(COUNTA($A37:$H37)&gt;0),"",IF(A37="","Missing date. ",IF(NOT(ISNUMBER(A37)),"Date is not a real date. ",IF(YEAR(A37)&lt;&gt;Settings!$B$4,"Date outside tax year. ",IF(A37&gt;TODAY(),"Date is in the future. ","")))))</f>
        <v/>
      </c>
      <c r="L37" s="15" t="str">
        <f aca="false">IF(NOT(COUNTA($A37:$H37)&gt;0),"",IF(E37="","Missing amount. ",IF(NOT(ISNUMBER(E37)),"Amount is not a number. ",IF(E37&lt;=0,"Amount must be above zero. ",""))))</f>
        <v/>
      </c>
      <c r="M37" s="15" t="str">
        <f aca="false">IF(NOT(COUNTA($A37:$H37)&gt;0),"",IF(D37="","Missing category. ",IF(COUNTIF(Settings!$B$11:$B$40,D37)=0,"Category not in your list. ","")))</f>
        <v/>
      </c>
      <c r="N37" s="15" t="str">
        <f aca="false">IF(AND(ISNUMBER(A37),ISNUMBER(E37),B37&lt;&gt;""),IF(COUNTIFS($A$6:$A$505,A37,$B$6:$B$505,B37,$E$6:$E$505,E37)&gt;1,"Possible duplicate. ",""),"")</f>
        <v/>
      </c>
      <c r="O37" s="15" t="str">
        <f aca="false">IF(AND(ISNUMBER(E37),E37&gt;=Settings!$B$6,G37&lt;&gt;"Yes"),"Receipt not marked as saved. ","")</f>
        <v/>
      </c>
      <c r="P37" s="15" t="str">
        <f aca="false">IF(AND(ISNUMBER(E37),E37&gt;=Settings!$B$5),"Large amount: review. ","")</f>
        <v/>
      </c>
    </row>
    <row r="38" customFormat="false" ht="15" hidden="false" customHeight="false" outlineLevel="0" collapsed="false">
      <c r="A38" s="10"/>
      <c r="B38" s="11"/>
      <c r="C38" s="11"/>
      <c r="D38" s="11"/>
      <c r="E38" s="12"/>
      <c r="F38" s="11"/>
      <c r="G38" s="11"/>
      <c r="H38" s="11"/>
      <c r="I38" s="13" t="str">
        <f aca="false">IF(NOT(COUNTA($A38:$H38)&gt;0),"",IF(K38&amp;L38&amp;M38&lt;&gt;"","ERROR",IF(N38&amp;O38&amp;P38&lt;&gt;"","CHECK","OK")))</f>
        <v/>
      </c>
      <c r="J38" s="14" t="str">
        <f aca="false">TRIM(K38&amp;L38&amp;M38&amp;N38&amp;O38&amp;P38)</f>
        <v/>
      </c>
      <c r="K38" s="15" t="str">
        <f aca="true">IF(NOT(COUNTA($A38:$H38)&gt;0),"",IF(A38="","Missing date. ",IF(NOT(ISNUMBER(A38)),"Date is not a real date. ",IF(YEAR(A38)&lt;&gt;Settings!$B$4,"Date outside tax year. ",IF(A38&gt;TODAY(),"Date is in the future. ","")))))</f>
        <v/>
      </c>
      <c r="L38" s="15" t="str">
        <f aca="false">IF(NOT(COUNTA($A38:$H38)&gt;0),"",IF(E38="","Missing amount. ",IF(NOT(ISNUMBER(E38)),"Amount is not a number. ",IF(E38&lt;=0,"Amount must be above zero. ",""))))</f>
        <v/>
      </c>
      <c r="M38" s="15" t="str">
        <f aca="false">IF(NOT(COUNTA($A38:$H38)&gt;0),"",IF(D38="","Missing category. ",IF(COUNTIF(Settings!$B$11:$B$40,D38)=0,"Category not in your list. ","")))</f>
        <v/>
      </c>
      <c r="N38" s="15" t="str">
        <f aca="false">IF(AND(ISNUMBER(A38),ISNUMBER(E38),B38&lt;&gt;""),IF(COUNTIFS($A$6:$A$505,A38,$B$6:$B$505,B38,$E$6:$E$505,E38)&gt;1,"Possible duplicate. ",""),"")</f>
        <v/>
      </c>
      <c r="O38" s="15" t="str">
        <f aca="false">IF(AND(ISNUMBER(E38),E38&gt;=Settings!$B$6,G38&lt;&gt;"Yes"),"Receipt not marked as saved. ","")</f>
        <v/>
      </c>
      <c r="P38" s="15" t="str">
        <f aca="false">IF(AND(ISNUMBER(E38),E38&gt;=Settings!$B$5),"Large amount: review. ","")</f>
        <v/>
      </c>
    </row>
    <row r="39" customFormat="false" ht="15" hidden="false" customHeight="false" outlineLevel="0" collapsed="false">
      <c r="A39" s="10"/>
      <c r="B39" s="11"/>
      <c r="C39" s="11"/>
      <c r="D39" s="11"/>
      <c r="E39" s="12"/>
      <c r="F39" s="11"/>
      <c r="G39" s="11"/>
      <c r="H39" s="11"/>
      <c r="I39" s="13" t="str">
        <f aca="false">IF(NOT(COUNTA($A39:$H39)&gt;0),"",IF(K39&amp;L39&amp;M39&lt;&gt;"","ERROR",IF(N39&amp;O39&amp;P39&lt;&gt;"","CHECK","OK")))</f>
        <v/>
      </c>
      <c r="J39" s="14" t="str">
        <f aca="false">TRIM(K39&amp;L39&amp;M39&amp;N39&amp;O39&amp;P39)</f>
        <v/>
      </c>
      <c r="K39" s="15" t="str">
        <f aca="true">IF(NOT(COUNTA($A39:$H39)&gt;0),"",IF(A39="","Missing date. ",IF(NOT(ISNUMBER(A39)),"Date is not a real date. ",IF(YEAR(A39)&lt;&gt;Settings!$B$4,"Date outside tax year. ",IF(A39&gt;TODAY(),"Date is in the future. ","")))))</f>
        <v/>
      </c>
      <c r="L39" s="15" t="str">
        <f aca="false">IF(NOT(COUNTA($A39:$H39)&gt;0),"",IF(E39="","Missing amount. ",IF(NOT(ISNUMBER(E39)),"Amount is not a number. ",IF(E39&lt;=0,"Amount must be above zero. ",""))))</f>
        <v/>
      </c>
      <c r="M39" s="15" t="str">
        <f aca="false">IF(NOT(COUNTA($A39:$H39)&gt;0),"",IF(D39="","Missing category. ",IF(COUNTIF(Settings!$B$11:$B$40,D39)=0,"Category not in your list. ","")))</f>
        <v/>
      </c>
      <c r="N39" s="15" t="str">
        <f aca="false">IF(AND(ISNUMBER(A39),ISNUMBER(E39),B39&lt;&gt;""),IF(COUNTIFS($A$6:$A$505,A39,$B$6:$B$505,B39,$E$6:$E$505,E39)&gt;1,"Possible duplicate. ",""),"")</f>
        <v/>
      </c>
      <c r="O39" s="15" t="str">
        <f aca="false">IF(AND(ISNUMBER(E39),E39&gt;=Settings!$B$6,G39&lt;&gt;"Yes"),"Receipt not marked as saved. ","")</f>
        <v/>
      </c>
      <c r="P39" s="15" t="str">
        <f aca="false">IF(AND(ISNUMBER(E39),E39&gt;=Settings!$B$5),"Large amount: review. ","")</f>
        <v/>
      </c>
    </row>
    <row r="40" customFormat="false" ht="15" hidden="false" customHeight="false" outlineLevel="0" collapsed="false">
      <c r="A40" s="10"/>
      <c r="B40" s="11"/>
      <c r="C40" s="11"/>
      <c r="D40" s="11"/>
      <c r="E40" s="12"/>
      <c r="F40" s="11"/>
      <c r="G40" s="11"/>
      <c r="H40" s="11"/>
      <c r="I40" s="13" t="str">
        <f aca="false">IF(NOT(COUNTA($A40:$H40)&gt;0),"",IF(K40&amp;L40&amp;M40&lt;&gt;"","ERROR",IF(N40&amp;O40&amp;P40&lt;&gt;"","CHECK","OK")))</f>
        <v/>
      </c>
      <c r="J40" s="14" t="str">
        <f aca="false">TRIM(K40&amp;L40&amp;M40&amp;N40&amp;O40&amp;P40)</f>
        <v/>
      </c>
      <c r="K40" s="15" t="str">
        <f aca="true">IF(NOT(COUNTA($A40:$H40)&gt;0),"",IF(A40="","Missing date. ",IF(NOT(ISNUMBER(A40)),"Date is not a real date. ",IF(YEAR(A40)&lt;&gt;Settings!$B$4,"Date outside tax year. ",IF(A40&gt;TODAY(),"Date is in the future. ","")))))</f>
        <v/>
      </c>
      <c r="L40" s="15" t="str">
        <f aca="false">IF(NOT(COUNTA($A40:$H40)&gt;0),"",IF(E40="","Missing amount. ",IF(NOT(ISNUMBER(E40)),"Amount is not a number. ",IF(E40&lt;=0,"Amount must be above zero. ",""))))</f>
        <v/>
      </c>
      <c r="M40" s="15" t="str">
        <f aca="false">IF(NOT(COUNTA($A40:$H40)&gt;0),"",IF(D40="","Missing category. ",IF(COUNTIF(Settings!$B$11:$B$40,D40)=0,"Category not in your list. ","")))</f>
        <v/>
      </c>
      <c r="N40" s="15" t="str">
        <f aca="false">IF(AND(ISNUMBER(A40),ISNUMBER(E40),B40&lt;&gt;""),IF(COUNTIFS($A$6:$A$505,A40,$B$6:$B$505,B40,$E$6:$E$505,E40)&gt;1,"Possible duplicate. ",""),"")</f>
        <v/>
      </c>
      <c r="O40" s="15" t="str">
        <f aca="false">IF(AND(ISNUMBER(E40),E40&gt;=Settings!$B$6,G40&lt;&gt;"Yes"),"Receipt not marked as saved. ","")</f>
        <v/>
      </c>
      <c r="P40" s="15" t="str">
        <f aca="false">IF(AND(ISNUMBER(E40),E40&gt;=Settings!$B$5),"Large amount: review. ","")</f>
        <v/>
      </c>
    </row>
    <row r="41" customFormat="false" ht="15" hidden="false" customHeight="false" outlineLevel="0" collapsed="false">
      <c r="A41" s="10"/>
      <c r="B41" s="11"/>
      <c r="C41" s="11"/>
      <c r="D41" s="11"/>
      <c r="E41" s="12"/>
      <c r="F41" s="11"/>
      <c r="G41" s="11"/>
      <c r="H41" s="11"/>
      <c r="I41" s="13" t="str">
        <f aca="false">IF(NOT(COUNTA($A41:$H41)&gt;0),"",IF(K41&amp;L41&amp;M41&lt;&gt;"","ERROR",IF(N41&amp;O41&amp;P41&lt;&gt;"","CHECK","OK")))</f>
        <v/>
      </c>
      <c r="J41" s="14" t="str">
        <f aca="false">TRIM(K41&amp;L41&amp;M41&amp;N41&amp;O41&amp;P41)</f>
        <v/>
      </c>
      <c r="K41" s="15" t="str">
        <f aca="true">IF(NOT(COUNTA($A41:$H41)&gt;0),"",IF(A41="","Missing date. ",IF(NOT(ISNUMBER(A41)),"Date is not a real date. ",IF(YEAR(A41)&lt;&gt;Settings!$B$4,"Date outside tax year. ",IF(A41&gt;TODAY(),"Date is in the future. ","")))))</f>
        <v/>
      </c>
      <c r="L41" s="15" t="str">
        <f aca="false">IF(NOT(COUNTA($A41:$H41)&gt;0),"",IF(E41="","Missing amount. ",IF(NOT(ISNUMBER(E41)),"Amount is not a number. ",IF(E41&lt;=0,"Amount must be above zero. ",""))))</f>
        <v/>
      </c>
      <c r="M41" s="15" t="str">
        <f aca="false">IF(NOT(COUNTA($A41:$H41)&gt;0),"",IF(D41="","Missing category. ",IF(COUNTIF(Settings!$B$11:$B$40,D41)=0,"Category not in your list. ","")))</f>
        <v/>
      </c>
      <c r="N41" s="15" t="str">
        <f aca="false">IF(AND(ISNUMBER(A41),ISNUMBER(E41),B41&lt;&gt;""),IF(COUNTIFS($A$6:$A$505,A41,$B$6:$B$505,B41,$E$6:$E$505,E41)&gt;1,"Possible duplicate. ",""),"")</f>
        <v/>
      </c>
      <c r="O41" s="15" t="str">
        <f aca="false">IF(AND(ISNUMBER(E41),E41&gt;=Settings!$B$6,G41&lt;&gt;"Yes"),"Receipt not marked as saved. ","")</f>
        <v/>
      </c>
      <c r="P41" s="15" t="str">
        <f aca="false">IF(AND(ISNUMBER(E41),E41&gt;=Settings!$B$5),"Large amount: review. ","")</f>
        <v/>
      </c>
    </row>
    <row r="42" customFormat="false" ht="15" hidden="false" customHeight="false" outlineLevel="0" collapsed="false">
      <c r="A42" s="10"/>
      <c r="B42" s="11"/>
      <c r="C42" s="11"/>
      <c r="D42" s="11"/>
      <c r="E42" s="12"/>
      <c r="F42" s="11"/>
      <c r="G42" s="11"/>
      <c r="H42" s="11"/>
      <c r="I42" s="13" t="str">
        <f aca="false">IF(NOT(COUNTA($A42:$H42)&gt;0),"",IF(K42&amp;L42&amp;M42&lt;&gt;"","ERROR",IF(N42&amp;O42&amp;P42&lt;&gt;"","CHECK","OK")))</f>
        <v/>
      </c>
      <c r="J42" s="14" t="str">
        <f aca="false">TRIM(K42&amp;L42&amp;M42&amp;N42&amp;O42&amp;P42)</f>
        <v/>
      </c>
      <c r="K42" s="15" t="str">
        <f aca="true">IF(NOT(COUNTA($A42:$H42)&gt;0),"",IF(A42="","Missing date. ",IF(NOT(ISNUMBER(A42)),"Date is not a real date. ",IF(YEAR(A42)&lt;&gt;Settings!$B$4,"Date outside tax year. ",IF(A42&gt;TODAY(),"Date is in the future. ","")))))</f>
        <v/>
      </c>
      <c r="L42" s="15" t="str">
        <f aca="false">IF(NOT(COUNTA($A42:$H42)&gt;0),"",IF(E42="","Missing amount. ",IF(NOT(ISNUMBER(E42)),"Amount is not a number. ",IF(E42&lt;=0,"Amount must be above zero. ",""))))</f>
        <v/>
      </c>
      <c r="M42" s="15" t="str">
        <f aca="false">IF(NOT(COUNTA($A42:$H42)&gt;0),"",IF(D42="","Missing category. ",IF(COUNTIF(Settings!$B$11:$B$40,D42)=0,"Category not in your list. ","")))</f>
        <v/>
      </c>
      <c r="N42" s="15" t="str">
        <f aca="false">IF(AND(ISNUMBER(A42),ISNUMBER(E42),B42&lt;&gt;""),IF(COUNTIFS($A$6:$A$505,A42,$B$6:$B$505,B42,$E$6:$E$505,E42)&gt;1,"Possible duplicate. ",""),"")</f>
        <v/>
      </c>
      <c r="O42" s="15" t="str">
        <f aca="false">IF(AND(ISNUMBER(E42),E42&gt;=Settings!$B$6,G42&lt;&gt;"Yes"),"Receipt not marked as saved. ","")</f>
        <v/>
      </c>
      <c r="P42" s="15" t="str">
        <f aca="false">IF(AND(ISNUMBER(E42),E42&gt;=Settings!$B$5),"Large amount: review. ","")</f>
        <v/>
      </c>
    </row>
    <row r="43" customFormat="false" ht="15" hidden="false" customHeight="false" outlineLevel="0" collapsed="false">
      <c r="A43" s="10"/>
      <c r="B43" s="11"/>
      <c r="C43" s="11"/>
      <c r="D43" s="11"/>
      <c r="E43" s="12"/>
      <c r="F43" s="11"/>
      <c r="G43" s="11"/>
      <c r="H43" s="11"/>
      <c r="I43" s="13" t="str">
        <f aca="false">IF(NOT(COUNTA($A43:$H43)&gt;0),"",IF(K43&amp;L43&amp;M43&lt;&gt;"","ERROR",IF(N43&amp;O43&amp;P43&lt;&gt;"","CHECK","OK")))</f>
        <v/>
      </c>
      <c r="J43" s="14" t="str">
        <f aca="false">TRIM(K43&amp;L43&amp;M43&amp;N43&amp;O43&amp;P43)</f>
        <v/>
      </c>
      <c r="K43" s="15" t="str">
        <f aca="true">IF(NOT(COUNTA($A43:$H43)&gt;0),"",IF(A43="","Missing date. ",IF(NOT(ISNUMBER(A43)),"Date is not a real date. ",IF(YEAR(A43)&lt;&gt;Settings!$B$4,"Date outside tax year. ",IF(A43&gt;TODAY(),"Date is in the future. ","")))))</f>
        <v/>
      </c>
      <c r="L43" s="15" t="str">
        <f aca="false">IF(NOT(COUNTA($A43:$H43)&gt;0),"",IF(E43="","Missing amount. ",IF(NOT(ISNUMBER(E43)),"Amount is not a number. ",IF(E43&lt;=0,"Amount must be above zero. ",""))))</f>
        <v/>
      </c>
      <c r="M43" s="15" t="str">
        <f aca="false">IF(NOT(COUNTA($A43:$H43)&gt;0),"",IF(D43="","Missing category. ",IF(COUNTIF(Settings!$B$11:$B$40,D43)=0,"Category not in your list. ","")))</f>
        <v/>
      </c>
      <c r="N43" s="15" t="str">
        <f aca="false">IF(AND(ISNUMBER(A43),ISNUMBER(E43),B43&lt;&gt;""),IF(COUNTIFS($A$6:$A$505,A43,$B$6:$B$505,B43,$E$6:$E$505,E43)&gt;1,"Possible duplicate. ",""),"")</f>
        <v/>
      </c>
      <c r="O43" s="15" t="str">
        <f aca="false">IF(AND(ISNUMBER(E43),E43&gt;=Settings!$B$6,G43&lt;&gt;"Yes"),"Receipt not marked as saved. ","")</f>
        <v/>
      </c>
      <c r="P43" s="15" t="str">
        <f aca="false">IF(AND(ISNUMBER(E43),E43&gt;=Settings!$B$5),"Large amount: review. ","")</f>
        <v/>
      </c>
    </row>
    <row r="44" customFormat="false" ht="15" hidden="false" customHeight="false" outlineLevel="0" collapsed="false">
      <c r="A44" s="10"/>
      <c r="B44" s="11"/>
      <c r="C44" s="11"/>
      <c r="D44" s="11"/>
      <c r="E44" s="12"/>
      <c r="F44" s="11"/>
      <c r="G44" s="11"/>
      <c r="H44" s="11"/>
      <c r="I44" s="13" t="str">
        <f aca="false">IF(NOT(COUNTA($A44:$H44)&gt;0),"",IF(K44&amp;L44&amp;M44&lt;&gt;"","ERROR",IF(N44&amp;O44&amp;P44&lt;&gt;"","CHECK","OK")))</f>
        <v/>
      </c>
      <c r="J44" s="14" t="str">
        <f aca="false">TRIM(K44&amp;L44&amp;M44&amp;N44&amp;O44&amp;P44)</f>
        <v/>
      </c>
      <c r="K44" s="15" t="str">
        <f aca="true">IF(NOT(COUNTA($A44:$H44)&gt;0),"",IF(A44="","Missing date. ",IF(NOT(ISNUMBER(A44)),"Date is not a real date. ",IF(YEAR(A44)&lt;&gt;Settings!$B$4,"Date outside tax year. ",IF(A44&gt;TODAY(),"Date is in the future. ","")))))</f>
        <v/>
      </c>
      <c r="L44" s="15" t="str">
        <f aca="false">IF(NOT(COUNTA($A44:$H44)&gt;0),"",IF(E44="","Missing amount. ",IF(NOT(ISNUMBER(E44)),"Amount is not a number. ",IF(E44&lt;=0,"Amount must be above zero. ",""))))</f>
        <v/>
      </c>
      <c r="M44" s="15" t="str">
        <f aca="false">IF(NOT(COUNTA($A44:$H44)&gt;0),"",IF(D44="","Missing category. ",IF(COUNTIF(Settings!$B$11:$B$40,D44)=0,"Category not in your list. ","")))</f>
        <v/>
      </c>
      <c r="N44" s="15" t="str">
        <f aca="false">IF(AND(ISNUMBER(A44),ISNUMBER(E44),B44&lt;&gt;""),IF(COUNTIFS($A$6:$A$505,A44,$B$6:$B$505,B44,$E$6:$E$505,E44)&gt;1,"Possible duplicate. ",""),"")</f>
        <v/>
      </c>
      <c r="O44" s="15" t="str">
        <f aca="false">IF(AND(ISNUMBER(E44),E44&gt;=Settings!$B$6,G44&lt;&gt;"Yes"),"Receipt not marked as saved. ","")</f>
        <v/>
      </c>
      <c r="P44" s="15" t="str">
        <f aca="false">IF(AND(ISNUMBER(E44),E44&gt;=Settings!$B$5),"Large amount: review. ","")</f>
        <v/>
      </c>
    </row>
    <row r="45" customFormat="false" ht="15" hidden="false" customHeight="false" outlineLevel="0" collapsed="false">
      <c r="A45" s="10"/>
      <c r="B45" s="11"/>
      <c r="C45" s="11"/>
      <c r="D45" s="11"/>
      <c r="E45" s="12"/>
      <c r="F45" s="11"/>
      <c r="G45" s="11"/>
      <c r="H45" s="11"/>
      <c r="I45" s="13" t="str">
        <f aca="false">IF(NOT(COUNTA($A45:$H45)&gt;0),"",IF(K45&amp;L45&amp;M45&lt;&gt;"","ERROR",IF(N45&amp;O45&amp;P45&lt;&gt;"","CHECK","OK")))</f>
        <v/>
      </c>
      <c r="J45" s="14" t="str">
        <f aca="false">TRIM(K45&amp;L45&amp;M45&amp;N45&amp;O45&amp;P45)</f>
        <v/>
      </c>
      <c r="K45" s="15" t="str">
        <f aca="true">IF(NOT(COUNTA($A45:$H45)&gt;0),"",IF(A45="","Missing date. ",IF(NOT(ISNUMBER(A45)),"Date is not a real date. ",IF(YEAR(A45)&lt;&gt;Settings!$B$4,"Date outside tax year. ",IF(A45&gt;TODAY(),"Date is in the future. ","")))))</f>
        <v/>
      </c>
      <c r="L45" s="15" t="str">
        <f aca="false">IF(NOT(COUNTA($A45:$H45)&gt;0),"",IF(E45="","Missing amount. ",IF(NOT(ISNUMBER(E45)),"Amount is not a number. ",IF(E45&lt;=0,"Amount must be above zero. ",""))))</f>
        <v/>
      </c>
      <c r="M45" s="15" t="str">
        <f aca="false">IF(NOT(COUNTA($A45:$H45)&gt;0),"",IF(D45="","Missing category. ",IF(COUNTIF(Settings!$B$11:$B$40,D45)=0,"Category not in your list. ","")))</f>
        <v/>
      </c>
      <c r="N45" s="15" t="str">
        <f aca="false">IF(AND(ISNUMBER(A45),ISNUMBER(E45),B45&lt;&gt;""),IF(COUNTIFS($A$6:$A$505,A45,$B$6:$B$505,B45,$E$6:$E$505,E45)&gt;1,"Possible duplicate. ",""),"")</f>
        <v/>
      </c>
      <c r="O45" s="15" t="str">
        <f aca="false">IF(AND(ISNUMBER(E45),E45&gt;=Settings!$B$6,G45&lt;&gt;"Yes"),"Receipt not marked as saved. ","")</f>
        <v/>
      </c>
      <c r="P45" s="15" t="str">
        <f aca="false">IF(AND(ISNUMBER(E45),E45&gt;=Settings!$B$5),"Large amount: review. ","")</f>
        <v/>
      </c>
    </row>
    <row r="46" customFormat="false" ht="15" hidden="false" customHeight="false" outlineLevel="0" collapsed="false">
      <c r="A46" s="10"/>
      <c r="B46" s="11"/>
      <c r="C46" s="11"/>
      <c r="D46" s="11"/>
      <c r="E46" s="12"/>
      <c r="F46" s="11"/>
      <c r="G46" s="11"/>
      <c r="H46" s="11"/>
      <c r="I46" s="13" t="str">
        <f aca="false">IF(NOT(COUNTA($A46:$H46)&gt;0),"",IF(K46&amp;L46&amp;M46&lt;&gt;"","ERROR",IF(N46&amp;O46&amp;P46&lt;&gt;"","CHECK","OK")))</f>
        <v/>
      </c>
      <c r="J46" s="14" t="str">
        <f aca="false">TRIM(K46&amp;L46&amp;M46&amp;N46&amp;O46&amp;P46)</f>
        <v/>
      </c>
      <c r="K46" s="15" t="str">
        <f aca="true">IF(NOT(COUNTA($A46:$H46)&gt;0),"",IF(A46="","Missing date. ",IF(NOT(ISNUMBER(A46)),"Date is not a real date. ",IF(YEAR(A46)&lt;&gt;Settings!$B$4,"Date outside tax year. ",IF(A46&gt;TODAY(),"Date is in the future. ","")))))</f>
        <v/>
      </c>
      <c r="L46" s="15" t="str">
        <f aca="false">IF(NOT(COUNTA($A46:$H46)&gt;0),"",IF(E46="","Missing amount. ",IF(NOT(ISNUMBER(E46)),"Amount is not a number. ",IF(E46&lt;=0,"Amount must be above zero. ",""))))</f>
        <v/>
      </c>
      <c r="M46" s="15" t="str">
        <f aca="false">IF(NOT(COUNTA($A46:$H46)&gt;0),"",IF(D46="","Missing category. ",IF(COUNTIF(Settings!$B$11:$B$40,D46)=0,"Category not in your list. ","")))</f>
        <v/>
      </c>
      <c r="N46" s="15" t="str">
        <f aca="false">IF(AND(ISNUMBER(A46),ISNUMBER(E46),B46&lt;&gt;""),IF(COUNTIFS($A$6:$A$505,A46,$B$6:$B$505,B46,$E$6:$E$505,E46)&gt;1,"Possible duplicate. ",""),"")</f>
        <v/>
      </c>
      <c r="O46" s="15" t="str">
        <f aca="false">IF(AND(ISNUMBER(E46),E46&gt;=Settings!$B$6,G46&lt;&gt;"Yes"),"Receipt not marked as saved. ","")</f>
        <v/>
      </c>
      <c r="P46" s="15" t="str">
        <f aca="false">IF(AND(ISNUMBER(E46),E46&gt;=Settings!$B$5),"Large amount: review. ","")</f>
        <v/>
      </c>
    </row>
    <row r="47" customFormat="false" ht="15" hidden="false" customHeight="false" outlineLevel="0" collapsed="false">
      <c r="A47" s="10"/>
      <c r="B47" s="11"/>
      <c r="C47" s="11"/>
      <c r="D47" s="11"/>
      <c r="E47" s="12"/>
      <c r="F47" s="11"/>
      <c r="G47" s="11"/>
      <c r="H47" s="11"/>
      <c r="I47" s="13" t="str">
        <f aca="false">IF(NOT(COUNTA($A47:$H47)&gt;0),"",IF(K47&amp;L47&amp;M47&lt;&gt;"","ERROR",IF(N47&amp;O47&amp;P47&lt;&gt;"","CHECK","OK")))</f>
        <v/>
      </c>
      <c r="J47" s="14" t="str">
        <f aca="false">TRIM(K47&amp;L47&amp;M47&amp;N47&amp;O47&amp;P47)</f>
        <v/>
      </c>
      <c r="K47" s="15" t="str">
        <f aca="true">IF(NOT(COUNTA($A47:$H47)&gt;0),"",IF(A47="","Missing date. ",IF(NOT(ISNUMBER(A47)),"Date is not a real date. ",IF(YEAR(A47)&lt;&gt;Settings!$B$4,"Date outside tax year. ",IF(A47&gt;TODAY(),"Date is in the future. ","")))))</f>
        <v/>
      </c>
      <c r="L47" s="15" t="str">
        <f aca="false">IF(NOT(COUNTA($A47:$H47)&gt;0),"",IF(E47="","Missing amount. ",IF(NOT(ISNUMBER(E47)),"Amount is not a number. ",IF(E47&lt;=0,"Amount must be above zero. ",""))))</f>
        <v/>
      </c>
      <c r="M47" s="15" t="str">
        <f aca="false">IF(NOT(COUNTA($A47:$H47)&gt;0),"",IF(D47="","Missing category. ",IF(COUNTIF(Settings!$B$11:$B$40,D47)=0,"Category not in your list. ","")))</f>
        <v/>
      </c>
      <c r="N47" s="15" t="str">
        <f aca="false">IF(AND(ISNUMBER(A47),ISNUMBER(E47),B47&lt;&gt;""),IF(COUNTIFS($A$6:$A$505,A47,$B$6:$B$505,B47,$E$6:$E$505,E47)&gt;1,"Possible duplicate. ",""),"")</f>
        <v/>
      </c>
      <c r="O47" s="15" t="str">
        <f aca="false">IF(AND(ISNUMBER(E47),E47&gt;=Settings!$B$6,G47&lt;&gt;"Yes"),"Receipt not marked as saved. ","")</f>
        <v/>
      </c>
      <c r="P47" s="15" t="str">
        <f aca="false">IF(AND(ISNUMBER(E47),E47&gt;=Settings!$B$5),"Large amount: review. ","")</f>
        <v/>
      </c>
    </row>
    <row r="48" customFormat="false" ht="15" hidden="false" customHeight="false" outlineLevel="0" collapsed="false">
      <c r="A48" s="10"/>
      <c r="B48" s="11"/>
      <c r="C48" s="11"/>
      <c r="D48" s="11"/>
      <c r="E48" s="12"/>
      <c r="F48" s="11"/>
      <c r="G48" s="11"/>
      <c r="H48" s="11"/>
      <c r="I48" s="13" t="str">
        <f aca="false">IF(NOT(COUNTA($A48:$H48)&gt;0),"",IF(K48&amp;L48&amp;M48&lt;&gt;"","ERROR",IF(N48&amp;O48&amp;P48&lt;&gt;"","CHECK","OK")))</f>
        <v/>
      </c>
      <c r="J48" s="14" t="str">
        <f aca="false">TRIM(K48&amp;L48&amp;M48&amp;N48&amp;O48&amp;P48)</f>
        <v/>
      </c>
      <c r="K48" s="15" t="str">
        <f aca="true">IF(NOT(COUNTA($A48:$H48)&gt;0),"",IF(A48="","Missing date. ",IF(NOT(ISNUMBER(A48)),"Date is not a real date. ",IF(YEAR(A48)&lt;&gt;Settings!$B$4,"Date outside tax year. ",IF(A48&gt;TODAY(),"Date is in the future. ","")))))</f>
        <v/>
      </c>
      <c r="L48" s="15" t="str">
        <f aca="false">IF(NOT(COUNTA($A48:$H48)&gt;0),"",IF(E48="","Missing amount. ",IF(NOT(ISNUMBER(E48)),"Amount is not a number. ",IF(E48&lt;=0,"Amount must be above zero. ",""))))</f>
        <v/>
      </c>
      <c r="M48" s="15" t="str">
        <f aca="false">IF(NOT(COUNTA($A48:$H48)&gt;0),"",IF(D48="","Missing category. ",IF(COUNTIF(Settings!$B$11:$B$40,D48)=0,"Category not in your list. ","")))</f>
        <v/>
      </c>
      <c r="N48" s="15" t="str">
        <f aca="false">IF(AND(ISNUMBER(A48),ISNUMBER(E48),B48&lt;&gt;""),IF(COUNTIFS($A$6:$A$505,A48,$B$6:$B$505,B48,$E$6:$E$505,E48)&gt;1,"Possible duplicate. ",""),"")</f>
        <v/>
      </c>
      <c r="O48" s="15" t="str">
        <f aca="false">IF(AND(ISNUMBER(E48),E48&gt;=Settings!$B$6,G48&lt;&gt;"Yes"),"Receipt not marked as saved. ","")</f>
        <v/>
      </c>
      <c r="P48" s="15" t="str">
        <f aca="false">IF(AND(ISNUMBER(E48),E48&gt;=Settings!$B$5),"Large amount: review. ","")</f>
        <v/>
      </c>
    </row>
    <row r="49" customFormat="false" ht="15" hidden="false" customHeight="false" outlineLevel="0" collapsed="false">
      <c r="A49" s="10"/>
      <c r="B49" s="11"/>
      <c r="C49" s="11"/>
      <c r="D49" s="11"/>
      <c r="E49" s="12"/>
      <c r="F49" s="11"/>
      <c r="G49" s="11"/>
      <c r="H49" s="11"/>
      <c r="I49" s="13" t="str">
        <f aca="false">IF(NOT(COUNTA($A49:$H49)&gt;0),"",IF(K49&amp;L49&amp;M49&lt;&gt;"","ERROR",IF(N49&amp;O49&amp;P49&lt;&gt;"","CHECK","OK")))</f>
        <v/>
      </c>
      <c r="J49" s="14" t="str">
        <f aca="false">TRIM(K49&amp;L49&amp;M49&amp;N49&amp;O49&amp;P49)</f>
        <v/>
      </c>
      <c r="K49" s="15" t="str">
        <f aca="true">IF(NOT(COUNTA($A49:$H49)&gt;0),"",IF(A49="","Missing date. ",IF(NOT(ISNUMBER(A49)),"Date is not a real date. ",IF(YEAR(A49)&lt;&gt;Settings!$B$4,"Date outside tax year. ",IF(A49&gt;TODAY(),"Date is in the future. ","")))))</f>
        <v/>
      </c>
      <c r="L49" s="15" t="str">
        <f aca="false">IF(NOT(COUNTA($A49:$H49)&gt;0),"",IF(E49="","Missing amount. ",IF(NOT(ISNUMBER(E49)),"Amount is not a number. ",IF(E49&lt;=0,"Amount must be above zero. ",""))))</f>
        <v/>
      </c>
      <c r="M49" s="15" t="str">
        <f aca="false">IF(NOT(COUNTA($A49:$H49)&gt;0),"",IF(D49="","Missing category. ",IF(COUNTIF(Settings!$B$11:$B$40,D49)=0,"Category not in your list. ","")))</f>
        <v/>
      </c>
      <c r="N49" s="15" t="str">
        <f aca="false">IF(AND(ISNUMBER(A49),ISNUMBER(E49),B49&lt;&gt;""),IF(COUNTIFS($A$6:$A$505,A49,$B$6:$B$505,B49,$E$6:$E$505,E49)&gt;1,"Possible duplicate. ",""),"")</f>
        <v/>
      </c>
      <c r="O49" s="15" t="str">
        <f aca="false">IF(AND(ISNUMBER(E49),E49&gt;=Settings!$B$6,G49&lt;&gt;"Yes"),"Receipt not marked as saved. ","")</f>
        <v/>
      </c>
      <c r="P49" s="15" t="str">
        <f aca="false">IF(AND(ISNUMBER(E49),E49&gt;=Settings!$B$5),"Large amount: review. ","")</f>
        <v/>
      </c>
    </row>
    <row r="50" customFormat="false" ht="15" hidden="false" customHeight="false" outlineLevel="0" collapsed="false">
      <c r="A50" s="10"/>
      <c r="B50" s="11"/>
      <c r="C50" s="11"/>
      <c r="D50" s="11"/>
      <c r="E50" s="12"/>
      <c r="F50" s="11"/>
      <c r="G50" s="11"/>
      <c r="H50" s="11"/>
      <c r="I50" s="13" t="str">
        <f aca="false">IF(NOT(COUNTA($A50:$H50)&gt;0),"",IF(K50&amp;L50&amp;M50&lt;&gt;"","ERROR",IF(N50&amp;O50&amp;P50&lt;&gt;"","CHECK","OK")))</f>
        <v/>
      </c>
      <c r="J50" s="14" t="str">
        <f aca="false">TRIM(K50&amp;L50&amp;M50&amp;N50&amp;O50&amp;P50)</f>
        <v/>
      </c>
      <c r="K50" s="15" t="str">
        <f aca="true">IF(NOT(COUNTA($A50:$H50)&gt;0),"",IF(A50="","Missing date. ",IF(NOT(ISNUMBER(A50)),"Date is not a real date. ",IF(YEAR(A50)&lt;&gt;Settings!$B$4,"Date outside tax year. ",IF(A50&gt;TODAY(),"Date is in the future. ","")))))</f>
        <v/>
      </c>
      <c r="L50" s="15" t="str">
        <f aca="false">IF(NOT(COUNTA($A50:$H50)&gt;0),"",IF(E50="","Missing amount. ",IF(NOT(ISNUMBER(E50)),"Amount is not a number. ",IF(E50&lt;=0,"Amount must be above zero. ",""))))</f>
        <v/>
      </c>
      <c r="M50" s="15" t="str">
        <f aca="false">IF(NOT(COUNTA($A50:$H50)&gt;0),"",IF(D50="","Missing category. ",IF(COUNTIF(Settings!$B$11:$B$40,D50)=0,"Category not in your list. ","")))</f>
        <v/>
      </c>
      <c r="N50" s="15" t="str">
        <f aca="false">IF(AND(ISNUMBER(A50),ISNUMBER(E50),B50&lt;&gt;""),IF(COUNTIFS($A$6:$A$505,A50,$B$6:$B$505,B50,$E$6:$E$505,E50)&gt;1,"Possible duplicate. ",""),"")</f>
        <v/>
      </c>
      <c r="O50" s="15" t="str">
        <f aca="false">IF(AND(ISNUMBER(E50),E50&gt;=Settings!$B$6,G50&lt;&gt;"Yes"),"Receipt not marked as saved. ","")</f>
        <v/>
      </c>
      <c r="P50" s="15" t="str">
        <f aca="false">IF(AND(ISNUMBER(E50),E50&gt;=Settings!$B$5),"Large amount: review. ","")</f>
        <v/>
      </c>
    </row>
    <row r="51" customFormat="false" ht="15" hidden="false" customHeight="false" outlineLevel="0" collapsed="false">
      <c r="A51" s="10"/>
      <c r="B51" s="11"/>
      <c r="C51" s="11"/>
      <c r="D51" s="11"/>
      <c r="E51" s="12"/>
      <c r="F51" s="11"/>
      <c r="G51" s="11"/>
      <c r="H51" s="11"/>
      <c r="I51" s="13" t="str">
        <f aca="false">IF(NOT(COUNTA($A51:$H51)&gt;0),"",IF(K51&amp;L51&amp;M51&lt;&gt;"","ERROR",IF(N51&amp;O51&amp;P51&lt;&gt;"","CHECK","OK")))</f>
        <v/>
      </c>
      <c r="J51" s="14" t="str">
        <f aca="false">TRIM(K51&amp;L51&amp;M51&amp;N51&amp;O51&amp;P51)</f>
        <v/>
      </c>
      <c r="K51" s="15" t="str">
        <f aca="true">IF(NOT(COUNTA($A51:$H51)&gt;0),"",IF(A51="","Missing date. ",IF(NOT(ISNUMBER(A51)),"Date is not a real date. ",IF(YEAR(A51)&lt;&gt;Settings!$B$4,"Date outside tax year. ",IF(A51&gt;TODAY(),"Date is in the future. ","")))))</f>
        <v/>
      </c>
      <c r="L51" s="15" t="str">
        <f aca="false">IF(NOT(COUNTA($A51:$H51)&gt;0),"",IF(E51="","Missing amount. ",IF(NOT(ISNUMBER(E51)),"Amount is not a number. ",IF(E51&lt;=0,"Amount must be above zero. ",""))))</f>
        <v/>
      </c>
      <c r="M51" s="15" t="str">
        <f aca="false">IF(NOT(COUNTA($A51:$H51)&gt;0),"",IF(D51="","Missing category. ",IF(COUNTIF(Settings!$B$11:$B$40,D51)=0,"Category not in your list. ","")))</f>
        <v/>
      </c>
      <c r="N51" s="15" t="str">
        <f aca="false">IF(AND(ISNUMBER(A51),ISNUMBER(E51),B51&lt;&gt;""),IF(COUNTIFS($A$6:$A$505,A51,$B$6:$B$505,B51,$E$6:$E$505,E51)&gt;1,"Possible duplicate. ",""),"")</f>
        <v/>
      </c>
      <c r="O51" s="15" t="str">
        <f aca="false">IF(AND(ISNUMBER(E51),E51&gt;=Settings!$B$6,G51&lt;&gt;"Yes"),"Receipt not marked as saved. ","")</f>
        <v/>
      </c>
      <c r="P51" s="15" t="str">
        <f aca="false">IF(AND(ISNUMBER(E51),E51&gt;=Settings!$B$5),"Large amount: review. ","")</f>
        <v/>
      </c>
    </row>
    <row r="52" customFormat="false" ht="15" hidden="false" customHeight="false" outlineLevel="0" collapsed="false">
      <c r="A52" s="10"/>
      <c r="B52" s="11"/>
      <c r="C52" s="11"/>
      <c r="D52" s="11"/>
      <c r="E52" s="12"/>
      <c r="F52" s="11"/>
      <c r="G52" s="11"/>
      <c r="H52" s="11"/>
      <c r="I52" s="13" t="str">
        <f aca="false">IF(NOT(COUNTA($A52:$H52)&gt;0),"",IF(K52&amp;L52&amp;M52&lt;&gt;"","ERROR",IF(N52&amp;O52&amp;P52&lt;&gt;"","CHECK","OK")))</f>
        <v/>
      </c>
      <c r="J52" s="14" t="str">
        <f aca="false">TRIM(K52&amp;L52&amp;M52&amp;N52&amp;O52&amp;P52)</f>
        <v/>
      </c>
      <c r="K52" s="15" t="str">
        <f aca="true">IF(NOT(COUNTA($A52:$H52)&gt;0),"",IF(A52="","Missing date. ",IF(NOT(ISNUMBER(A52)),"Date is not a real date. ",IF(YEAR(A52)&lt;&gt;Settings!$B$4,"Date outside tax year. ",IF(A52&gt;TODAY(),"Date is in the future. ","")))))</f>
        <v/>
      </c>
      <c r="L52" s="15" t="str">
        <f aca="false">IF(NOT(COUNTA($A52:$H52)&gt;0),"",IF(E52="","Missing amount. ",IF(NOT(ISNUMBER(E52)),"Amount is not a number. ",IF(E52&lt;=0,"Amount must be above zero. ",""))))</f>
        <v/>
      </c>
      <c r="M52" s="15" t="str">
        <f aca="false">IF(NOT(COUNTA($A52:$H52)&gt;0),"",IF(D52="","Missing category. ",IF(COUNTIF(Settings!$B$11:$B$40,D52)=0,"Category not in your list. ","")))</f>
        <v/>
      </c>
      <c r="N52" s="15" t="str">
        <f aca="false">IF(AND(ISNUMBER(A52),ISNUMBER(E52),B52&lt;&gt;""),IF(COUNTIFS($A$6:$A$505,A52,$B$6:$B$505,B52,$E$6:$E$505,E52)&gt;1,"Possible duplicate. ",""),"")</f>
        <v/>
      </c>
      <c r="O52" s="15" t="str">
        <f aca="false">IF(AND(ISNUMBER(E52),E52&gt;=Settings!$B$6,G52&lt;&gt;"Yes"),"Receipt not marked as saved. ","")</f>
        <v/>
      </c>
      <c r="P52" s="15" t="str">
        <f aca="false">IF(AND(ISNUMBER(E52),E52&gt;=Settings!$B$5),"Large amount: review. ","")</f>
        <v/>
      </c>
    </row>
    <row r="53" customFormat="false" ht="15" hidden="false" customHeight="false" outlineLevel="0" collapsed="false">
      <c r="A53" s="10"/>
      <c r="B53" s="11"/>
      <c r="C53" s="11"/>
      <c r="D53" s="11"/>
      <c r="E53" s="12"/>
      <c r="F53" s="11"/>
      <c r="G53" s="11"/>
      <c r="H53" s="11"/>
      <c r="I53" s="13" t="str">
        <f aca="false">IF(NOT(COUNTA($A53:$H53)&gt;0),"",IF(K53&amp;L53&amp;M53&lt;&gt;"","ERROR",IF(N53&amp;O53&amp;P53&lt;&gt;"","CHECK","OK")))</f>
        <v/>
      </c>
      <c r="J53" s="14" t="str">
        <f aca="false">TRIM(K53&amp;L53&amp;M53&amp;N53&amp;O53&amp;P53)</f>
        <v/>
      </c>
      <c r="K53" s="15" t="str">
        <f aca="true">IF(NOT(COUNTA($A53:$H53)&gt;0),"",IF(A53="","Missing date. ",IF(NOT(ISNUMBER(A53)),"Date is not a real date. ",IF(YEAR(A53)&lt;&gt;Settings!$B$4,"Date outside tax year. ",IF(A53&gt;TODAY(),"Date is in the future. ","")))))</f>
        <v/>
      </c>
      <c r="L53" s="15" t="str">
        <f aca="false">IF(NOT(COUNTA($A53:$H53)&gt;0),"",IF(E53="","Missing amount. ",IF(NOT(ISNUMBER(E53)),"Amount is not a number. ",IF(E53&lt;=0,"Amount must be above zero. ",""))))</f>
        <v/>
      </c>
      <c r="M53" s="15" t="str">
        <f aca="false">IF(NOT(COUNTA($A53:$H53)&gt;0),"",IF(D53="","Missing category. ",IF(COUNTIF(Settings!$B$11:$B$40,D53)=0,"Category not in your list. ","")))</f>
        <v/>
      </c>
      <c r="N53" s="15" t="str">
        <f aca="false">IF(AND(ISNUMBER(A53),ISNUMBER(E53),B53&lt;&gt;""),IF(COUNTIFS($A$6:$A$505,A53,$B$6:$B$505,B53,$E$6:$E$505,E53)&gt;1,"Possible duplicate. ",""),"")</f>
        <v/>
      </c>
      <c r="O53" s="15" t="str">
        <f aca="false">IF(AND(ISNUMBER(E53),E53&gt;=Settings!$B$6,G53&lt;&gt;"Yes"),"Receipt not marked as saved. ","")</f>
        <v/>
      </c>
      <c r="P53" s="15" t="str">
        <f aca="false">IF(AND(ISNUMBER(E53),E53&gt;=Settings!$B$5),"Large amount: review. ","")</f>
        <v/>
      </c>
    </row>
    <row r="54" customFormat="false" ht="15" hidden="false" customHeight="false" outlineLevel="0" collapsed="false">
      <c r="A54" s="10"/>
      <c r="B54" s="11"/>
      <c r="C54" s="11"/>
      <c r="D54" s="11"/>
      <c r="E54" s="12"/>
      <c r="F54" s="11"/>
      <c r="G54" s="11"/>
      <c r="H54" s="11"/>
      <c r="I54" s="13" t="str">
        <f aca="false">IF(NOT(COUNTA($A54:$H54)&gt;0),"",IF(K54&amp;L54&amp;M54&lt;&gt;"","ERROR",IF(N54&amp;O54&amp;P54&lt;&gt;"","CHECK","OK")))</f>
        <v/>
      </c>
      <c r="J54" s="14" t="str">
        <f aca="false">TRIM(K54&amp;L54&amp;M54&amp;N54&amp;O54&amp;P54)</f>
        <v/>
      </c>
      <c r="K54" s="15" t="str">
        <f aca="true">IF(NOT(COUNTA($A54:$H54)&gt;0),"",IF(A54="","Missing date. ",IF(NOT(ISNUMBER(A54)),"Date is not a real date. ",IF(YEAR(A54)&lt;&gt;Settings!$B$4,"Date outside tax year. ",IF(A54&gt;TODAY(),"Date is in the future. ","")))))</f>
        <v/>
      </c>
      <c r="L54" s="15" t="str">
        <f aca="false">IF(NOT(COUNTA($A54:$H54)&gt;0),"",IF(E54="","Missing amount. ",IF(NOT(ISNUMBER(E54)),"Amount is not a number. ",IF(E54&lt;=0,"Amount must be above zero. ",""))))</f>
        <v/>
      </c>
      <c r="M54" s="15" t="str">
        <f aca="false">IF(NOT(COUNTA($A54:$H54)&gt;0),"",IF(D54="","Missing category. ",IF(COUNTIF(Settings!$B$11:$B$40,D54)=0,"Category not in your list. ","")))</f>
        <v/>
      </c>
      <c r="N54" s="15" t="str">
        <f aca="false">IF(AND(ISNUMBER(A54),ISNUMBER(E54),B54&lt;&gt;""),IF(COUNTIFS($A$6:$A$505,A54,$B$6:$B$505,B54,$E$6:$E$505,E54)&gt;1,"Possible duplicate. ",""),"")</f>
        <v/>
      </c>
      <c r="O54" s="15" t="str">
        <f aca="false">IF(AND(ISNUMBER(E54),E54&gt;=Settings!$B$6,G54&lt;&gt;"Yes"),"Receipt not marked as saved. ","")</f>
        <v/>
      </c>
      <c r="P54" s="15" t="str">
        <f aca="false">IF(AND(ISNUMBER(E54),E54&gt;=Settings!$B$5),"Large amount: review. ","")</f>
        <v/>
      </c>
    </row>
    <row r="55" customFormat="false" ht="15" hidden="false" customHeight="false" outlineLevel="0" collapsed="false">
      <c r="A55" s="10"/>
      <c r="B55" s="11"/>
      <c r="C55" s="11"/>
      <c r="D55" s="11"/>
      <c r="E55" s="12"/>
      <c r="F55" s="11"/>
      <c r="G55" s="11"/>
      <c r="H55" s="11"/>
      <c r="I55" s="13" t="str">
        <f aca="false">IF(NOT(COUNTA($A55:$H55)&gt;0),"",IF(K55&amp;L55&amp;M55&lt;&gt;"","ERROR",IF(N55&amp;O55&amp;P55&lt;&gt;"","CHECK","OK")))</f>
        <v/>
      </c>
      <c r="J55" s="14" t="str">
        <f aca="false">TRIM(K55&amp;L55&amp;M55&amp;N55&amp;O55&amp;P55)</f>
        <v/>
      </c>
      <c r="K55" s="15" t="str">
        <f aca="true">IF(NOT(COUNTA($A55:$H55)&gt;0),"",IF(A55="","Missing date. ",IF(NOT(ISNUMBER(A55)),"Date is not a real date. ",IF(YEAR(A55)&lt;&gt;Settings!$B$4,"Date outside tax year. ",IF(A55&gt;TODAY(),"Date is in the future. ","")))))</f>
        <v/>
      </c>
      <c r="L55" s="15" t="str">
        <f aca="false">IF(NOT(COUNTA($A55:$H55)&gt;0),"",IF(E55="","Missing amount. ",IF(NOT(ISNUMBER(E55)),"Amount is not a number. ",IF(E55&lt;=0,"Amount must be above zero. ",""))))</f>
        <v/>
      </c>
      <c r="M55" s="15" t="str">
        <f aca="false">IF(NOT(COUNTA($A55:$H55)&gt;0),"",IF(D55="","Missing category. ",IF(COUNTIF(Settings!$B$11:$B$40,D55)=0,"Category not in your list. ","")))</f>
        <v/>
      </c>
      <c r="N55" s="15" t="str">
        <f aca="false">IF(AND(ISNUMBER(A55),ISNUMBER(E55),B55&lt;&gt;""),IF(COUNTIFS($A$6:$A$505,A55,$B$6:$B$505,B55,$E$6:$E$505,E55)&gt;1,"Possible duplicate. ",""),"")</f>
        <v/>
      </c>
      <c r="O55" s="15" t="str">
        <f aca="false">IF(AND(ISNUMBER(E55),E55&gt;=Settings!$B$6,G55&lt;&gt;"Yes"),"Receipt not marked as saved. ","")</f>
        <v/>
      </c>
      <c r="P55" s="15" t="str">
        <f aca="false">IF(AND(ISNUMBER(E55),E55&gt;=Settings!$B$5),"Large amount: review. ","")</f>
        <v/>
      </c>
    </row>
    <row r="56" customFormat="false" ht="15" hidden="false" customHeight="false" outlineLevel="0" collapsed="false">
      <c r="A56" s="10"/>
      <c r="B56" s="11"/>
      <c r="C56" s="11"/>
      <c r="D56" s="11"/>
      <c r="E56" s="12"/>
      <c r="F56" s="11"/>
      <c r="G56" s="11"/>
      <c r="H56" s="11"/>
      <c r="I56" s="13" t="str">
        <f aca="false">IF(NOT(COUNTA($A56:$H56)&gt;0),"",IF(K56&amp;L56&amp;M56&lt;&gt;"","ERROR",IF(N56&amp;O56&amp;P56&lt;&gt;"","CHECK","OK")))</f>
        <v/>
      </c>
      <c r="J56" s="14" t="str">
        <f aca="false">TRIM(K56&amp;L56&amp;M56&amp;N56&amp;O56&amp;P56)</f>
        <v/>
      </c>
      <c r="K56" s="15" t="str">
        <f aca="true">IF(NOT(COUNTA($A56:$H56)&gt;0),"",IF(A56="","Missing date. ",IF(NOT(ISNUMBER(A56)),"Date is not a real date. ",IF(YEAR(A56)&lt;&gt;Settings!$B$4,"Date outside tax year. ",IF(A56&gt;TODAY(),"Date is in the future. ","")))))</f>
        <v/>
      </c>
      <c r="L56" s="15" t="str">
        <f aca="false">IF(NOT(COUNTA($A56:$H56)&gt;0),"",IF(E56="","Missing amount. ",IF(NOT(ISNUMBER(E56)),"Amount is not a number. ",IF(E56&lt;=0,"Amount must be above zero. ",""))))</f>
        <v/>
      </c>
      <c r="M56" s="15" t="str">
        <f aca="false">IF(NOT(COUNTA($A56:$H56)&gt;0),"",IF(D56="","Missing category. ",IF(COUNTIF(Settings!$B$11:$B$40,D56)=0,"Category not in your list. ","")))</f>
        <v/>
      </c>
      <c r="N56" s="15" t="str">
        <f aca="false">IF(AND(ISNUMBER(A56),ISNUMBER(E56),B56&lt;&gt;""),IF(COUNTIFS($A$6:$A$505,A56,$B$6:$B$505,B56,$E$6:$E$505,E56)&gt;1,"Possible duplicate. ",""),"")</f>
        <v/>
      </c>
      <c r="O56" s="15" t="str">
        <f aca="false">IF(AND(ISNUMBER(E56),E56&gt;=Settings!$B$6,G56&lt;&gt;"Yes"),"Receipt not marked as saved. ","")</f>
        <v/>
      </c>
      <c r="P56" s="15" t="str">
        <f aca="false">IF(AND(ISNUMBER(E56),E56&gt;=Settings!$B$5),"Large amount: review. ","")</f>
        <v/>
      </c>
    </row>
    <row r="57" customFormat="false" ht="15" hidden="false" customHeight="false" outlineLevel="0" collapsed="false">
      <c r="A57" s="10"/>
      <c r="B57" s="11"/>
      <c r="C57" s="11"/>
      <c r="D57" s="11"/>
      <c r="E57" s="12"/>
      <c r="F57" s="11"/>
      <c r="G57" s="11"/>
      <c r="H57" s="11"/>
      <c r="I57" s="13" t="str">
        <f aca="false">IF(NOT(COUNTA($A57:$H57)&gt;0),"",IF(K57&amp;L57&amp;M57&lt;&gt;"","ERROR",IF(N57&amp;O57&amp;P57&lt;&gt;"","CHECK","OK")))</f>
        <v/>
      </c>
      <c r="J57" s="14" t="str">
        <f aca="false">TRIM(K57&amp;L57&amp;M57&amp;N57&amp;O57&amp;P57)</f>
        <v/>
      </c>
      <c r="K57" s="15" t="str">
        <f aca="true">IF(NOT(COUNTA($A57:$H57)&gt;0),"",IF(A57="","Missing date. ",IF(NOT(ISNUMBER(A57)),"Date is not a real date. ",IF(YEAR(A57)&lt;&gt;Settings!$B$4,"Date outside tax year. ",IF(A57&gt;TODAY(),"Date is in the future. ","")))))</f>
        <v/>
      </c>
      <c r="L57" s="15" t="str">
        <f aca="false">IF(NOT(COUNTA($A57:$H57)&gt;0),"",IF(E57="","Missing amount. ",IF(NOT(ISNUMBER(E57)),"Amount is not a number. ",IF(E57&lt;=0,"Amount must be above zero. ",""))))</f>
        <v/>
      </c>
      <c r="M57" s="15" t="str">
        <f aca="false">IF(NOT(COUNTA($A57:$H57)&gt;0),"",IF(D57="","Missing category. ",IF(COUNTIF(Settings!$B$11:$B$40,D57)=0,"Category not in your list. ","")))</f>
        <v/>
      </c>
      <c r="N57" s="15" t="str">
        <f aca="false">IF(AND(ISNUMBER(A57),ISNUMBER(E57),B57&lt;&gt;""),IF(COUNTIFS($A$6:$A$505,A57,$B$6:$B$505,B57,$E$6:$E$505,E57)&gt;1,"Possible duplicate. ",""),"")</f>
        <v/>
      </c>
      <c r="O57" s="15" t="str">
        <f aca="false">IF(AND(ISNUMBER(E57),E57&gt;=Settings!$B$6,G57&lt;&gt;"Yes"),"Receipt not marked as saved. ","")</f>
        <v/>
      </c>
      <c r="P57" s="15" t="str">
        <f aca="false">IF(AND(ISNUMBER(E57),E57&gt;=Settings!$B$5),"Large amount: review. ","")</f>
        <v/>
      </c>
    </row>
    <row r="58" customFormat="false" ht="15" hidden="false" customHeight="false" outlineLevel="0" collapsed="false">
      <c r="A58" s="10"/>
      <c r="B58" s="11"/>
      <c r="C58" s="11"/>
      <c r="D58" s="11"/>
      <c r="E58" s="12"/>
      <c r="F58" s="11"/>
      <c r="G58" s="11"/>
      <c r="H58" s="11"/>
      <c r="I58" s="13" t="str">
        <f aca="false">IF(NOT(COUNTA($A58:$H58)&gt;0),"",IF(K58&amp;L58&amp;M58&lt;&gt;"","ERROR",IF(N58&amp;O58&amp;P58&lt;&gt;"","CHECK","OK")))</f>
        <v/>
      </c>
      <c r="J58" s="14" t="str">
        <f aca="false">TRIM(K58&amp;L58&amp;M58&amp;N58&amp;O58&amp;P58)</f>
        <v/>
      </c>
      <c r="K58" s="15" t="str">
        <f aca="true">IF(NOT(COUNTA($A58:$H58)&gt;0),"",IF(A58="","Missing date. ",IF(NOT(ISNUMBER(A58)),"Date is not a real date. ",IF(YEAR(A58)&lt;&gt;Settings!$B$4,"Date outside tax year. ",IF(A58&gt;TODAY(),"Date is in the future. ","")))))</f>
        <v/>
      </c>
      <c r="L58" s="15" t="str">
        <f aca="false">IF(NOT(COUNTA($A58:$H58)&gt;0),"",IF(E58="","Missing amount. ",IF(NOT(ISNUMBER(E58)),"Amount is not a number. ",IF(E58&lt;=0,"Amount must be above zero. ",""))))</f>
        <v/>
      </c>
      <c r="M58" s="15" t="str">
        <f aca="false">IF(NOT(COUNTA($A58:$H58)&gt;0),"",IF(D58="","Missing category. ",IF(COUNTIF(Settings!$B$11:$B$40,D58)=0,"Category not in your list. ","")))</f>
        <v/>
      </c>
      <c r="N58" s="15" t="str">
        <f aca="false">IF(AND(ISNUMBER(A58),ISNUMBER(E58),B58&lt;&gt;""),IF(COUNTIFS($A$6:$A$505,A58,$B$6:$B$505,B58,$E$6:$E$505,E58)&gt;1,"Possible duplicate. ",""),"")</f>
        <v/>
      </c>
      <c r="O58" s="15" t="str">
        <f aca="false">IF(AND(ISNUMBER(E58),E58&gt;=Settings!$B$6,G58&lt;&gt;"Yes"),"Receipt not marked as saved. ","")</f>
        <v/>
      </c>
      <c r="P58" s="15" t="str">
        <f aca="false">IF(AND(ISNUMBER(E58),E58&gt;=Settings!$B$5),"Large amount: review. ","")</f>
        <v/>
      </c>
    </row>
    <row r="59" customFormat="false" ht="15" hidden="false" customHeight="false" outlineLevel="0" collapsed="false">
      <c r="A59" s="10"/>
      <c r="B59" s="11"/>
      <c r="C59" s="11"/>
      <c r="D59" s="11"/>
      <c r="E59" s="12"/>
      <c r="F59" s="11"/>
      <c r="G59" s="11"/>
      <c r="H59" s="11"/>
      <c r="I59" s="13" t="str">
        <f aca="false">IF(NOT(COUNTA($A59:$H59)&gt;0),"",IF(K59&amp;L59&amp;M59&lt;&gt;"","ERROR",IF(N59&amp;O59&amp;P59&lt;&gt;"","CHECK","OK")))</f>
        <v/>
      </c>
      <c r="J59" s="14" t="str">
        <f aca="false">TRIM(K59&amp;L59&amp;M59&amp;N59&amp;O59&amp;P59)</f>
        <v/>
      </c>
      <c r="K59" s="15" t="str">
        <f aca="true">IF(NOT(COUNTA($A59:$H59)&gt;0),"",IF(A59="","Missing date. ",IF(NOT(ISNUMBER(A59)),"Date is not a real date. ",IF(YEAR(A59)&lt;&gt;Settings!$B$4,"Date outside tax year. ",IF(A59&gt;TODAY(),"Date is in the future. ","")))))</f>
        <v/>
      </c>
      <c r="L59" s="15" t="str">
        <f aca="false">IF(NOT(COUNTA($A59:$H59)&gt;0),"",IF(E59="","Missing amount. ",IF(NOT(ISNUMBER(E59)),"Amount is not a number. ",IF(E59&lt;=0,"Amount must be above zero. ",""))))</f>
        <v/>
      </c>
      <c r="M59" s="15" t="str">
        <f aca="false">IF(NOT(COUNTA($A59:$H59)&gt;0),"",IF(D59="","Missing category. ",IF(COUNTIF(Settings!$B$11:$B$40,D59)=0,"Category not in your list. ","")))</f>
        <v/>
      </c>
      <c r="N59" s="15" t="str">
        <f aca="false">IF(AND(ISNUMBER(A59),ISNUMBER(E59),B59&lt;&gt;""),IF(COUNTIFS($A$6:$A$505,A59,$B$6:$B$505,B59,$E$6:$E$505,E59)&gt;1,"Possible duplicate. ",""),"")</f>
        <v/>
      </c>
      <c r="O59" s="15" t="str">
        <f aca="false">IF(AND(ISNUMBER(E59),E59&gt;=Settings!$B$6,G59&lt;&gt;"Yes"),"Receipt not marked as saved. ","")</f>
        <v/>
      </c>
      <c r="P59" s="15" t="str">
        <f aca="false">IF(AND(ISNUMBER(E59),E59&gt;=Settings!$B$5),"Large amount: review. ","")</f>
        <v/>
      </c>
    </row>
    <row r="60" customFormat="false" ht="15" hidden="false" customHeight="false" outlineLevel="0" collapsed="false">
      <c r="A60" s="10"/>
      <c r="B60" s="11"/>
      <c r="C60" s="11"/>
      <c r="D60" s="11"/>
      <c r="E60" s="12"/>
      <c r="F60" s="11"/>
      <c r="G60" s="11"/>
      <c r="H60" s="11"/>
      <c r="I60" s="13" t="str">
        <f aca="false">IF(NOT(COUNTA($A60:$H60)&gt;0),"",IF(K60&amp;L60&amp;M60&lt;&gt;"","ERROR",IF(N60&amp;O60&amp;P60&lt;&gt;"","CHECK","OK")))</f>
        <v/>
      </c>
      <c r="J60" s="14" t="str">
        <f aca="false">TRIM(K60&amp;L60&amp;M60&amp;N60&amp;O60&amp;P60)</f>
        <v/>
      </c>
      <c r="K60" s="15" t="str">
        <f aca="true">IF(NOT(COUNTA($A60:$H60)&gt;0),"",IF(A60="","Missing date. ",IF(NOT(ISNUMBER(A60)),"Date is not a real date. ",IF(YEAR(A60)&lt;&gt;Settings!$B$4,"Date outside tax year. ",IF(A60&gt;TODAY(),"Date is in the future. ","")))))</f>
        <v/>
      </c>
      <c r="L60" s="15" t="str">
        <f aca="false">IF(NOT(COUNTA($A60:$H60)&gt;0),"",IF(E60="","Missing amount. ",IF(NOT(ISNUMBER(E60)),"Amount is not a number. ",IF(E60&lt;=0,"Amount must be above zero. ",""))))</f>
        <v/>
      </c>
      <c r="M60" s="15" t="str">
        <f aca="false">IF(NOT(COUNTA($A60:$H60)&gt;0),"",IF(D60="","Missing category. ",IF(COUNTIF(Settings!$B$11:$B$40,D60)=0,"Category not in your list. ","")))</f>
        <v/>
      </c>
      <c r="N60" s="15" t="str">
        <f aca="false">IF(AND(ISNUMBER(A60),ISNUMBER(E60),B60&lt;&gt;""),IF(COUNTIFS($A$6:$A$505,A60,$B$6:$B$505,B60,$E$6:$E$505,E60)&gt;1,"Possible duplicate. ",""),"")</f>
        <v/>
      </c>
      <c r="O60" s="15" t="str">
        <f aca="false">IF(AND(ISNUMBER(E60),E60&gt;=Settings!$B$6,G60&lt;&gt;"Yes"),"Receipt not marked as saved. ","")</f>
        <v/>
      </c>
      <c r="P60" s="15" t="str">
        <f aca="false">IF(AND(ISNUMBER(E60),E60&gt;=Settings!$B$5),"Large amount: review. ","")</f>
        <v/>
      </c>
    </row>
    <row r="61" customFormat="false" ht="15" hidden="false" customHeight="false" outlineLevel="0" collapsed="false">
      <c r="A61" s="10"/>
      <c r="B61" s="11"/>
      <c r="C61" s="11"/>
      <c r="D61" s="11"/>
      <c r="E61" s="12"/>
      <c r="F61" s="11"/>
      <c r="G61" s="11"/>
      <c r="H61" s="11"/>
      <c r="I61" s="13" t="str">
        <f aca="false">IF(NOT(COUNTA($A61:$H61)&gt;0),"",IF(K61&amp;L61&amp;M61&lt;&gt;"","ERROR",IF(N61&amp;O61&amp;P61&lt;&gt;"","CHECK","OK")))</f>
        <v/>
      </c>
      <c r="J61" s="14" t="str">
        <f aca="false">TRIM(K61&amp;L61&amp;M61&amp;N61&amp;O61&amp;P61)</f>
        <v/>
      </c>
      <c r="K61" s="15" t="str">
        <f aca="true">IF(NOT(COUNTA($A61:$H61)&gt;0),"",IF(A61="","Missing date. ",IF(NOT(ISNUMBER(A61)),"Date is not a real date. ",IF(YEAR(A61)&lt;&gt;Settings!$B$4,"Date outside tax year. ",IF(A61&gt;TODAY(),"Date is in the future. ","")))))</f>
        <v/>
      </c>
      <c r="L61" s="15" t="str">
        <f aca="false">IF(NOT(COUNTA($A61:$H61)&gt;0),"",IF(E61="","Missing amount. ",IF(NOT(ISNUMBER(E61)),"Amount is not a number. ",IF(E61&lt;=0,"Amount must be above zero. ",""))))</f>
        <v/>
      </c>
      <c r="M61" s="15" t="str">
        <f aca="false">IF(NOT(COUNTA($A61:$H61)&gt;0),"",IF(D61="","Missing category. ",IF(COUNTIF(Settings!$B$11:$B$40,D61)=0,"Category not in your list. ","")))</f>
        <v/>
      </c>
      <c r="N61" s="15" t="str">
        <f aca="false">IF(AND(ISNUMBER(A61),ISNUMBER(E61),B61&lt;&gt;""),IF(COUNTIFS($A$6:$A$505,A61,$B$6:$B$505,B61,$E$6:$E$505,E61)&gt;1,"Possible duplicate. ",""),"")</f>
        <v/>
      </c>
      <c r="O61" s="15" t="str">
        <f aca="false">IF(AND(ISNUMBER(E61),E61&gt;=Settings!$B$6,G61&lt;&gt;"Yes"),"Receipt not marked as saved. ","")</f>
        <v/>
      </c>
      <c r="P61" s="15" t="str">
        <f aca="false">IF(AND(ISNUMBER(E61),E61&gt;=Settings!$B$5),"Large amount: review. ","")</f>
        <v/>
      </c>
    </row>
    <row r="62" customFormat="false" ht="15" hidden="false" customHeight="false" outlineLevel="0" collapsed="false">
      <c r="A62" s="10"/>
      <c r="B62" s="11"/>
      <c r="C62" s="11"/>
      <c r="D62" s="11"/>
      <c r="E62" s="12"/>
      <c r="F62" s="11"/>
      <c r="G62" s="11"/>
      <c r="H62" s="11"/>
      <c r="I62" s="13" t="str">
        <f aca="false">IF(NOT(COUNTA($A62:$H62)&gt;0),"",IF(K62&amp;L62&amp;M62&lt;&gt;"","ERROR",IF(N62&amp;O62&amp;P62&lt;&gt;"","CHECK","OK")))</f>
        <v/>
      </c>
      <c r="J62" s="14" t="str">
        <f aca="false">TRIM(K62&amp;L62&amp;M62&amp;N62&amp;O62&amp;P62)</f>
        <v/>
      </c>
      <c r="K62" s="15" t="str">
        <f aca="true">IF(NOT(COUNTA($A62:$H62)&gt;0),"",IF(A62="","Missing date. ",IF(NOT(ISNUMBER(A62)),"Date is not a real date. ",IF(YEAR(A62)&lt;&gt;Settings!$B$4,"Date outside tax year. ",IF(A62&gt;TODAY(),"Date is in the future. ","")))))</f>
        <v/>
      </c>
      <c r="L62" s="15" t="str">
        <f aca="false">IF(NOT(COUNTA($A62:$H62)&gt;0),"",IF(E62="","Missing amount. ",IF(NOT(ISNUMBER(E62)),"Amount is not a number. ",IF(E62&lt;=0,"Amount must be above zero. ",""))))</f>
        <v/>
      </c>
      <c r="M62" s="15" t="str">
        <f aca="false">IF(NOT(COUNTA($A62:$H62)&gt;0),"",IF(D62="","Missing category. ",IF(COUNTIF(Settings!$B$11:$B$40,D62)=0,"Category not in your list. ","")))</f>
        <v/>
      </c>
      <c r="N62" s="15" t="str">
        <f aca="false">IF(AND(ISNUMBER(A62),ISNUMBER(E62),B62&lt;&gt;""),IF(COUNTIFS($A$6:$A$505,A62,$B$6:$B$505,B62,$E$6:$E$505,E62)&gt;1,"Possible duplicate. ",""),"")</f>
        <v/>
      </c>
      <c r="O62" s="15" t="str">
        <f aca="false">IF(AND(ISNUMBER(E62),E62&gt;=Settings!$B$6,G62&lt;&gt;"Yes"),"Receipt not marked as saved. ","")</f>
        <v/>
      </c>
      <c r="P62" s="15" t="str">
        <f aca="false">IF(AND(ISNUMBER(E62),E62&gt;=Settings!$B$5),"Large amount: review. ","")</f>
        <v/>
      </c>
    </row>
    <row r="63" customFormat="false" ht="15" hidden="false" customHeight="false" outlineLevel="0" collapsed="false">
      <c r="A63" s="10"/>
      <c r="B63" s="11"/>
      <c r="C63" s="11"/>
      <c r="D63" s="11"/>
      <c r="E63" s="12"/>
      <c r="F63" s="11"/>
      <c r="G63" s="11"/>
      <c r="H63" s="11"/>
      <c r="I63" s="13" t="str">
        <f aca="false">IF(NOT(COUNTA($A63:$H63)&gt;0),"",IF(K63&amp;L63&amp;M63&lt;&gt;"","ERROR",IF(N63&amp;O63&amp;P63&lt;&gt;"","CHECK","OK")))</f>
        <v/>
      </c>
      <c r="J63" s="14" t="str">
        <f aca="false">TRIM(K63&amp;L63&amp;M63&amp;N63&amp;O63&amp;P63)</f>
        <v/>
      </c>
      <c r="K63" s="15" t="str">
        <f aca="true">IF(NOT(COUNTA($A63:$H63)&gt;0),"",IF(A63="","Missing date. ",IF(NOT(ISNUMBER(A63)),"Date is not a real date. ",IF(YEAR(A63)&lt;&gt;Settings!$B$4,"Date outside tax year. ",IF(A63&gt;TODAY(),"Date is in the future. ","")))))</f>
        <v/>
      </c>
      <c r="L63" s="15" t="str">
        <f aca="false">IF(NOT(COUNTA($A63:$H63)&gt;0),"",IF(E63="","Missing amount. ",IF(NOT(ISNUMBER(E63)),"Amount is not a number. ",IF(E63&lt;=0,"Amount must be above zero. ",""))))</f>
        <v/>
      </c>
      <c r="M63" s="15" t="str">
        <f aca="false">IF(NOT(COUNTA($A63:$H63)&gt;0),"",IF(D63="","Missing category. ",IF(COUNTIF(Settings!$B$11:$B$40,D63)=0,"Category not in your list. ","")))</f>
        <v/>
      </c>
      <c r="N63" s="15" t="str">
        <f aca="false">IF(AND(ISNUMBER(A63),ISNUMBER(E63),B63&lt;&gt;""),IF(COUNTIFS($A$6:$A$505,A63,$B$6:$B$505,B63,$E$6:$E$505,E63)&gt;1,"Possible duplicate. ",""),"")</f>
        <v/>
      </c>
      <c r="O63" s="15" t="str">
        <f aca="false">IF(AND(ISNUMBER(E63),E63&gt;=Settings!$B$6,G63&lt;&gt;"Yes"),"Receipt not marked as saved. ","")</f>
        <v/>
      </c>
      <c r="P63" s="15" t="str">
        <f aca="false">IF(AND(ISNUMBER(E63),E63&gt;=Settings!$B$5),"Large amount: review. ","")</f>
        <v/>
      </c>
    </row>
    <row r="64" customFormat="false" ht="15" hidden="false" customHeight="false" outlineLevel="0" collapsed="false">
      <c r="A64" s="10"/>
      <c r="B64" s="11"/>
      <c r="C64" s="11"/>
      <c r="D64" s="11"/>
      <c r="E64" s="12"/>
      <c r="F64" s="11"/>
      <c r="G64" s="11"/>
      <c r="H64" s="11"/>
      <c r="I64" s="13" t="str">
        <f aca="false">IF(NOT(COUNTA($A64:$H64)&gt;0),"",IF(K64&amp;L64&amp;M64&lt;&gt;"","ERROR",IF(N64&amp;O64&amp;P64&lt;&gt;"","CHECK","OK")))</f>
        <v/>
      </c>
      <c r="J64" s="14" t="str">
        <f aca="false">TRIM(K64&amp;L64&amp;M64&amp;N64&amp;O64&amp;P64)</f>
        <v/>
      </c>
      <c r="K64" s="15" t="str">
        <f aca="true">IF(NOT(COUNTA($A64:$H64)&gt;0),"",IF(A64="","Missing date. ",IF(NOT(ISNUMBER(A64)),"Date is not a real date. ",IF(YEAR(A64)&lt;&gt;Settings!$B$4,"Date outside tax year. ",IF(A64&gt;TODAY(),"Date is in the future. ","")))))</f>
        <v/>
      </c>
      <c r="L64" s="15" t="str">
        <f aca="false">IF(NOT(COUNTA($A64:$H64)&gt;0),"",IF(E64="","Missing amount. ",IF(NOT(ISNUMBER(E64)),"Amount is not a number. ",IF(E64&lt;=0,"Amount must be above zero. ",""))))</f>
        <v/>
      </c>
      <c r="M64" s="15" t="str">
        <f aca="false">IF(NOT(COUNTA($A64:$H64)&gt;0),"",IF(D64="","Missing category. ",IF(COUNTIF(Settings!$B$11:$B$40,D64)=0,"Category not in your list. ","")))</f>
        <v/>
      </c>
      <c r="N64" s="15" t="str">
        <f aca="false">IF(AND(ISNUMBER(A64),ISNUMBER(E64),B64&lt;&gt;""),IF(COUNTIFS($A$6:$A$505,A64,$B$6:$B$505,B64,$E$6:$E$505,E64)&gt;1,"Possible duplicate. ",""),"")</f>
        <v/>
      </c>
      <c r="O64" s="15" t="str">
        <f aca="false">IF(AND(ISNUMBER(E64),E64&gt;=Settings!$B$6,G64&lt;&gt;"Yes"),"Receipt not marked as saved. ","")</f>
        <v/>
      </c>
      <c r="P64" s="15" t="str">
        <f aca="false">IF(AND(ISNUMBER(E64),E64&gt;=Settings!$B$5),"Large amount: review. ","")</f>
        <v/>
      </c>
    </row>
    <row r="65" customFormat="false" ht="15" hidden="false" customHeight="false" outlineLevel="0" collapsed="false">
      <c r="A65" s="10"/>
      <c r="B65" s="11"/>
      <c r="C65" s="11"/>
      <c r="D65" s="11"/>
      <c r="E65" s="12"/>
      <c r="F65" s="11"/>
      <c r="G65" s="11"/>
      <c r="H65" s="11"/>
      <c r="I65" s="13" t="str">
        <f aca="false">IF(NOT(COUNTA($A65:$H65)&gt;0),"",IF(K65&amp;L65&amp;M65&lt;&gt;"","ERROR",IF(N65&amp;O65&amp;P65&lt;&gt;"","CHECK","OK")))</f>
        <v/>
      </c>
      <c r="J65" s="14" t="str">
        <f aca="false">TRIM(K65&amp;L65&amp;M65&amp;N65&amp;O65&amp;P65)</f>
        <v/>
      </c>
      <c r="K65" s="15" t="str">
        <f aca="true">IF(NOT(COUNTA($A65:$H65)&gt;0),"",IF(A65="","Missing date. ",IF(NOT(ISNUMBER(A65)),"Date is not a real date. ",IF(YEAR(A65)&lt;&gt;Settings!$B$4,"Date outside tax year. ",IF(A65&gt;TODAY(),"Date is in the future. ","")))))</f>
        <v/>
      </c>
      <c r="L65" s="15" t="str">
        <f aca="false">IF(NOT(COUNTA($A65:$H65)&gt;0),"",IF(E65="","Missing amount. ",IF(NOT(ISNUMBER(E65)),"Amount is not a number. ",IF(E65&lt;=0,"Amount must be above zero. ",""))))</f>
        <v/>
      </c>
      <c r="M65" s="15" t="str">
        <f aca="false">IF(NOT(COUNTA($A65:$H65)&gt;0),"",IF(D65="","Missing category. ",IF(COUNTIF(Settings!$B$11:$B$40,D65)=0,"Category not in your list. ","")))</f>
        <v/>
      </c>
      <c r="N65" s="15" t="str">
        <f aca="false">IF(AND(ISNUMBER(A65),ISNUMBER(E65),B65&lt;&gt;""),IF(COUNTIFS($A$6:$A$505,A65,$B$6:$B$505,B65,$E$6:$E$505,E65)&gt;1,"Possible duplicate. ",""),"")</f>
        <v/>
      </c>
      <c r="O65" s="15" t="str">
        <f aca="false">IF(AND(ISNUMBER(E65),E65&gt;=Settings!$B$6,G65&lt;&gt;"Yes"),"Receipt not marked as saved. ","")</f>
        <v/>
      </c>
      <c r="P65" s="15" t="str">
        <f aca="false">IF(AND(ISNUMBER(E65),E65&gt;=Settings!$B$5),"Large amount: review. ","")</f>
        <v/>
      </c>
    </row>
    <row r="66" customFormat="false" ht="15" hidden="false" customHeight="false" outlineLevel="0" collapsed="false">
      <c r="A66" s="10"/>
      <c r="B66" s="11"/>
      <c r="C66" s="11"/>
      <c r="D66" s="11"/>
      <c r="E66" s="12"/>
      <c r="F66" s="11"/>
      <c r="G66" s="11"/>
      <c r="H66" s="11"/>
      <c r="I66" s="13" t="str">
        <f aca="false">IF(NOT(COUNTA($A66:$H66)&gt;0),"",IF(K66&amp;L66&amp;M66&lt;&gt;"","ERROR",IF(N66&amp;O66&amp;P66&lt;&gt;"","CHECK","OK")))</f>
        <v/>
      </c>
      <c r="J66" s="14" t="str">
        <f aca="false">TRIM(K66&amp;L66&amp;M66&amp;N66&amp;O66&amp;P66)</f>
        <v/>
      </c>
      <c r="K66" s="15" t="str">
        <f aca="true">IF(NOT(COUNTA($A66:$H66)&gt;0),"",IF(A66="","Missing date. ",IF(NOT(ISNUMBER(A66)),"Date is not a real date. ",IF(YEAR(A66)&lt;&gt;Settings!$B$4,"Date outside tax year. ",IF(A66&gt;TODAY(),"Date is in the future. ","")))))</f>
        <v/>
      </c>
      <c r="L66" s="15" t="str">
        <f aca="false">IF(NOT(COUNTA($A66:$H66)&gt;0),"",IF(E66="","Missing amount. ",IF(NOT(ISNUMBER(E66)),"Amount is not a number. ",IF(E66&lt;=0,"Amount must be above zero. ",""))))</f>
        <v/>
      </c>
      <c r="M66" s="15" t="str">
        <f aca="false">IF(NOT(COUNTA($A66:$H66)&gt;0),"",IF(D66="","Missing category. ",IF(COUNTIF(Settings!$B$11:$B$40,D66)=0,"Category not in your list. ","")))</f>
        <v/>
      </c>
      <c r="N66" s="15" t="str">
        <f aca="false">IF(AND(ISNUMBER(A66),ISNUMBER(E66),B66&lt;&gt;""),IF(COUNTIFS($A$6:$A$505,A66,$B$6:$B$505,B66,$E$6:$E$505,E66)&gt;1,"Possible duplicate. ",""),"")</f>
        <v/>
      </c>
      <c r="O66" s="15" t="str">
        <f aca="false">IF(AND(ISNUMBER(E66),E66&gt;=Settings!$B$6,G66&lt;&gt;"Yes"),"Receipt not marked as saved. ","")</f>
        <v/>
      </c>
      <c r="P66" s="15" t="str">
        <f aca="false">IF(AND(ISNUMBER(E66),E66&gt;=Settings!$B$5),"Large amount: review. ","")</f>
        <v/>
      </c>
    </row>
    <row r="67" customFormat="false" ht="15" hidden="false" customHeight="false" outlineLevel="0" collapsed="false">
      <c r="A67" s="10"/>
      <c r="B67" s="11"/>
      <c r="C67" s="11"/>
      <c r="D67" s="11"/>
      <c r="E67" s="12"/>
      <c r="F67" s="11"/>
      <c r="G67" s="11"/>
      <c r="H67" s="11"/>
      <c r="I67" s="13" t="str">
        <f aca="false">IF(NOT(COUNTA($A67:$H67)&gt;0),"",IF(K67&amp;L67&amp;M67&lt;&gt;"","ERROR",IF(N67&amp;O67&amp;P67&lt;&gt;"","CHECK","OK")))</f>
        <v/>
      </c>
      <c r="J67" s="14" t="str">
        <f aca="false">TRIM(K67&amp;L67&amp;M67&amp;N67&amp;O67&amp;P67)</f>
        <v/>
      </c>
      <c r="K67" s="15" t="str">
        <f aca="true">IF(NOT(COUNTA($A67:$H67)&gt;0),"",IF(A67="","Missing date. ",IF(NOT(ISNUMBER(A67)),"Date is not a real date. ",IF(YEAR(A67)&lt;&gt;Settings!$B$4,"Date outside tax year. ",IF(A67&gt;TODAY(),"Date is in the future. ","")))))</f>
        <v/>
      </c>
      <c r="L67" s="15" t="str">
        <f aca="false">IF(NOT(COUNTA($A67:$H67)&gt;0),"",IF(E67="","Missing amount. ",IF(NOT(ISNUMBER(E67)),"Amount is not a number. ",IF(E67&lt;=0,"Amount must be above zero. ",""))))</f>
        <v/>
      </c>
      <c r="M67" s="15" t="str">
        <f aca="false">IF(NOT(COUNTA($A67:$H67)&gt;0),"",IF(D67="","Missing category. ",IF(COUNTIF(Settings!$B$11:$B$40,D67)=0,"Category not in your list. ","")))</f>
        <v/>
      </c>
      <c r="N67" s="15" t="str">
        <f aca="false">IF(AND(ISNUMBER(A67),ISNUMBER(E67),B67&lt;&gt;""),IF(COUNTIFS($A$6:$A$505,A67,$B$6:$B$505,B67,$E$6:$E$505,E67)&gt;1,"Possible duplicate. ",""),"")</f>
        <v/>
      </c>
      <c r="O67" s="15" t="str">
        <f aca="false">IF(AND(ISNUMBER(E67),E67&gt;=Settings!$B$6,G67&lt;&gt;"Yes"),"Receipt not marked as saved. ","")</f>
        <v/>
      </c>
      <c r="P67" s="15" t="str">
        <f aca="false">IF(AND(ISNUMBER(E67),E67&gt;=Settings!$B$5),"Large amount: review. ","")</f>
        <v/>
      </c>
    </row>
    <row r="68" customFormat="false" ht="15" hidden="false" customHeight="false" outlineLevel="0" collapsed="false">
      <c r="A68" s="10"/>
      <c r="B68" s="11"/>
      <c r="C68" s="11"/>
      <c r="D68" s="11"/>
      <c r="E68" s="12"/>
      <c r="F68" s="11"/>
      <c r="G68" s="11"/>
      <c r="H68" s="11"/>
      <c r="I68" s="13" t="str">
        <f aca="false">IF(NOT(COUNTA($A68:$H68)&gt;0),"",IF(K68&amp;L68&amp;M68&lt;&gt;"","ERROR",IF(N68&amp;O68&amp;P68&lt;&gt;"","CHECK","OK")))</f>
        <v/>
      </c>
      <c r="J68" s="14" t="str">
        <f aca="false">TRIM(K68&amp;L68&amp;M68&amp;N68&amp;O68&amp;P68)</f>
        <v/>
      </c>
      <c r="K68" s="15" t="str">
        <f aca="true">IF(NOT(COUNTA($A68:$H68)&gt;0),"",IF(A68="","Missing date. ",IF(NOT(ISNUMBER(A68)),"Date is not a real date. ",IF(YEAR(A68)&lt;&gt;Settings!$B$4,"Date outside tax year. ",IF(A68&gt;TODAY(),"Date is in the future. ","")))))</f>
        <v/>
      </c>
      <c r="L68" s="15" t="str">
        <f aca="false">IF(NOT(COUNTA($A68:$H68)&gt;0),"",IF(E68="","Missing amount. ",IF(NOT(ISNUMBER(E68)),"Amount is not a number. ",IF(E68&lt;=0,"Amount must be above zero. ",""))))</f>
        <v/>
      </c>
      <c r="M68" s="15" t="str">
        <f aca="false">IF(NOT(COUNTA($A68:$H68)&gt;0),"",IF(D68="","Missing category. ",IF(COUNTIF(Settings!$B$11:$B$40,D68)=0,"Category not in your list. ","")))</f>
        <v/>
      </c>
      <c r="N68" s="15" t="str">
        <f aca="false">IF(AND(ISNUMBER(A68),ISNUMBER(E68),B68&lt;&gt;""),IF(COUNTIFS($A$6:$A$505,A68,$B$6:$B$505,B68,$E$6:$E$505,E68)&gt;1,"Possible duplicate. ",""),"")</f>
        <v/>
      </c>
      <c r="O68" s="15" t="str">
        <f aca="false">IF(AND(ISNUMBER(E68),E68&gt;=Settings!$B$6,G68&lt;&gt;"Yes"),"Receipt not marked as saved. ","")</f>
        <v/>
      </c>
      <c r="P68" s="15" t="str">
        <f aca="false">IF(AND(ISNUMBER(E68),E68&gt;=Settings!$B$5),"Large amount: review. ","")</f>
        <v/>
      </c>
    </row>
    <row r="69" customFormat="false" ht="15" hidden="false" customHeight="false" outlineLevel="0" collapsed="false">
      <c r="A69" s="10"/>
      <c r="B69" s="11"/>
      <c r="C69" s="11"/>
      <c r="D69" s="11"/>
      <c r="E69" s="12"/>
      <c r="F69" s="11"/>
      <c r="G69" s="11"/>
      <c r="H69" s="11"/>
      <c r="I69" s="13" t="str">
        <f aca="false">IF(NOT(COUNTA($A69:$H69)&gt;0),"",IF(K69&amp;L69&amp;M69&lt;&gt;"","ERROR",IF(N69&amp;O69&amp;P69&lt;&gt;"","CHECK","OK")))</f>
        <v/>
      </c>
      <c r="J69" s="14" t="str">
        <f aca="false">TRIM(K69&amp;L69&amp;M69&amp;N69&amp;O69&amp;P69)</f>
        <v/>
      </c>
      <c r="K69" s="15" t="str">
        <f aca="true">IF(NOT(COUNTA($A69:$H69)&gt;0),"",IF(A69="","Missing date. ",IF(NOT(ISNUMBER(A69)),"Date is not a real date. ",IF(YEAR(A69)&lt;&gt;Settings!$B$4,"Date outside tax year. ",IF(A69&gt;TODAY(),"Date is in the future. ","")))))</f>
        <v/>
      </c>
      <c r="L69" s="15" t="str">
        <f aca="false">IF(NOT(COUNTA($A69:$H69)&gt;0),"",IF(E69="","Missing amount. ",IF(NOT(ISNUMBER(E69)),"Amount is not a number. ",IF(E69&lt;=0,"Amount must be above zero. ",""))))</f>
        <v/>
      </c>
      <c r="M69" s="15" t="str">
        <f aca="false">IF(NOT(COUNTA($A69:$H69)&gt;0),"",IF(D69="","Missing category. ",IF(COUNTIF(Settings!$B$11:$B$40,D69)=0,"Category not in your list. ","")))</f>
        <v/>
      </c>
      <c r="N69" s="15" t="str">
        <f aca="false">IF(AND(ISNUMBER(A69),ISNUMBER(E69),B69&lt;&gt;""),IF(COUNTIFS($A$6:$A$505,A69,$B$6:$B$505,B69,$E$6:$E$505,E69)&gt;1,"Possible duplicate. ",""),"")</f>
        <v/>
      </c>
      <c r="O69" s="15" t="str">
        <f aca="false">IF(AND(ISNUMBER(E69),E69&gt;=Settings!$B$6,G69&lt;&gt;"Yes"),"Receipt not marked as saved. ","")</f>
        <v/>
      </c>
      <c r="P69" s="15" t="str">
        <f aca="false">IF(AND(ISNUMBER(E69),E69&gt;=Settings!$B$5),"Large amount: review. ","")</f>
        <v/>
      </c>
    </row>
    <row r="70" customFormat="false" ht="15" hidden="false" customHeight="false" outlineLevel="0" collapsed="false">
      <c r="A70" s="10"/>
      <c r="B70" s="11"/>
      <c r="C70" s="11"/>
      <c r="D70" s="11"/>
      <c r="E70" s="12"/>
      <c r="F70" s="11"/>
      <c r="G70" s="11"/>
      <c r="H70" s="11"/>
      <c r="I70" s="13" t="str">
        <f aca="false">IF(NOT(COUNTA($A70:$H70)&gt;0),"",IF(K70&amp;L70&amp;M70&lt;&gt;"","ERROR",IF(N70&amp;O70&amp;P70&lt;&gt;"","CHECK","OK")))</f>
        <v/>
      </c>
      <c r="J70" s="14" t="str">
        <f aca="false">TRIM(K70&amp;L70&amp;M70&amp;N70&amp;O70&amp;P70)</f>
        <v/>
      </c>
      <c r="K70" s="15" t="str">
        <f aca="true">IF(NOT(COUNTA($A70:$H70)&gt;0),"",IF(A70="","Missing date. ",IF(NOT(ISNUMBER(A70)),"Date is not a real date. ",IF(YEAR(A70)&lt;&gt;Settings!$B$4,"Date outside tax year. ",IF(A70&gt;TODAY(),"Date is in the future. ","")))))</f>
        <v/>
      </c>
      <c r="L70" s="15" t="str">
        <f aca="false">IF(NOT(COUNTA($A70:$H70)&gt;0),"",IF(E70="","Missing amount. ",IF(NOT(ISNUMBER(E70)),"Amount is not a number. ",IF(E70&lt;=0,"Amount must be above zero. ",""))))</f>
        <v/>
      </c>
      <c r="M70" s="15" t="str">
        <f aca="false">IF(NOT(COUNTA($A70:$H70)&gt;0),"",IF(D70="","Missing category. ",IF(COUNTIF(Settings!$B$11:$B$40,D70)=0,"Category not in your list. ","")))</f>
        <v/>
      </c>
      <c r="N70" s="15" t="str">
        <f aca="false">IF(AND(ISNUMBER(A70),ISNUMBER(E70),B70&lt;&gt;""),IF(COUNTIFS($A$6:$A$505,A70,$B$6:$B$505,B70,$E$6:$E$505,E70)&gt;1,"Possible duplicate. ",""),"")</f>
        <v/>
      </c>
      <c r="O70" s="15" t="str">
        <f aca="false">IF(AND(ISNUMBER(E70),E70&gt;=Settings!$B$6,G70&lt;&gt;"Yes"),"Receipt not marked as saved. ","")</f>
        <v/>
      </c>
      <c r="P70" s="15" t="str">
        <f aca="false">IF(AND(ISNUMBER(E70),E70&gt;=Settings!$B$5),"Large amount: review. ","")</f>
        <v/>
      </c>
    </row>
    <row r="71" customFormat="false" ht="15" hidden="false" customHeight="false" outlineLevel="0" collapsed="false">
      <c r="A71" s="10"/>
      <c r="B71" s="11"/>
      <c r="C71" s="11"/>
      <c r="D71" s="11"/>
      <c r="E71" s="12"/>
      <c r="F71" s="11"/>
      <c r="G71" s="11"/>
      <c r="H71" s="11"/>
      <c r="I71" s="13" t="str">
        <f aca="false">IF(NOT(COUNTA($A71:$H71)&gt;0),"",IF(K71&amp;L71&amp;M71&lt;&gt;"","ERROR",IF(N71&amp;O71&amp;P71&lt;&gt;"","CHECK","OK")))</f>
        <v/>
      </c>
      <c r="J71" s="14" t="str">
        <f aca="false">TRIM(K71&amp;L71&amp;M71&amp;N71&amp;O71&amp;P71)</f>
        <v/>
      </c>
      <c r="K71" s="15" t="str">
        <f aca="true">IF(NOT(COUNTA($A71:$H71)&gt;0),"",IF(A71="","Missing date. ",IF(NOT(ISNUMBER(A71)),"Date is not a real date. ",IF(YEAR(A71)&lt;&gt;Settings!$B$4,"Date outside tax year. ",IF(A71&gt;TODAY(),"Date is in the future. ","")))))</f>
        <v/>
      </c>
      <c r="L71" s="15" t="str">
        <f aca="false">IF(NOT(COUNTA($A71:$H71)&gt;0),"",IF(E71="","Missing amount. ",IF(NOT(ISNUMBER(E71)),"Amount is not a number. ",IF(E71&lt;=0,"Amount must be above zero. ",""))))</f>
        <v/>
      </c>
      <c r="M71" s="15" t="str">
        <f aca="false">IF(NOT(COUNTA($A71:$H71)&gt;0),"",IF(D71="","Missing category. ",IF(COUNTIF(Settings!$B$11:$B$40,D71)=0,"Category not in your list. ","")))</f>
        <v/>
      </c>
      <c r="N71" s="15" t="str">
        <f aca="false">IF(AND(ISNUMBER(A71),ISNUMBER(E71),B71&lt;&gt;""),IF(COUNTIFS($A$6:$A$505,A71,$B$6:$B$505,B71,$E$6:$E$505,E71)&gt;1,"Possible duplicate. ",""),"")</f>
        <v/>
      </c>
      <c r="O71" s="15" t="str">
        <f aca="false">IF(AND(ISNUMBER(E71),E71&gt;=Settings!$B$6,G71&lt;&gt;"Yes"),"Receipt not marked as saved. ","")</f>
        <v/>
      </c>
      <c r="P71" s="15" t="str">
        <f aca="false">IF(AND(ISNUMBER(E71),E71&gt;=Settings!$B$5),"Large amount: review. ","")</f>
        <v/>
      </c>
    </row>
    <row r="72" customFormat="false" ht="15" hidden="false" customHeight="false" outlineLevel="0" collapsed="false">
      <c r="A72" s="10"/>
      <c r="B72" s="11"/>
      <c r="C72" s="11"/>
      <c r="D72" s="11"/>
      <c r="E72" s="12"/>
      <c r="F72" s="11"/>
      <c r="G72" s="11"/>
      <c r="H72" s="11"/>
      <c r="I72" s="13" t="str">
        <f aca="false">IF(NOT(COUNTA($A72:$H72)&gt;0),"",IF(K72&amp;L72&amp;M72&lt;&gt;"","ERROR",IF(N72&amp;O72&amp;P72&lt;&gt;"","CHECK","OK")))</f>
        <v/>
      </c>
      <c r="J72" s="14" t="str">
        <f aca="false">TRIM(K72&amp;L72&amp;M72&amp;N72&amp;O72&amp;P72)</f>
        <v/>
      </c>
      <c r="K72" s="15" t="str">
        <f aca="true">IF(NOT(COUNTA($A72:$H72)&gt;0),"",IF(A72="","Missing date. ",IF(NOT(ISNUMBER(A72)),"Date is not a real date. ",IF(YEAR(A72)&lt;&gt;Settings!$B$4,"Date outside tax year. ",IF(A72&gt;TODAY(),"Date is in the future. ","")))))</f>
        <v/>
      </c>
      <c r="L72" s="15" t="str">
        <f aca="false">IF(NOT(COUNTA($A72:$H72)&gt;0),"",IF(E72="","Missing amount. ",IF(NOT(ISNUMBER(E72)),"Amount is not a number. ",IF(E72&lt;=0,"Amount must be above zero. ",""))))</f>
        <v/>
      </c>
      <c r="M72" s="15" t="str">
        <f aca="false">IF(NOT(COUNTA($A72:$H72)&gt;0),"",IF(D72="","Missing category. ",IF(COUNTIF(Settings!$B$11:$B$40,D72)=0,"Category not in your list. ","")))</f>
        <v/>
      </c>
      <c r="N72" s="15" t="str">
        <f aca="false">IF(AND(ISNUMBER(A72),ISNUMBER(E72),B72&lt;&gt;""),IF(COUNTIFS($A$6:$A$505,A72,$B$6:$B$505,B72,$E$6:$E$505,E72)&gt;1,"Possible duplicate. ",""),"")</f>
        <v/>
      </c>
      <c r="O72" s="15" t="str">
        <f aca="false">IF(AND(ISNUMBER(E72),E72&gt;=Settings!$B$6,G72&lt;&gt;"Yes"),"Receipt not marked as saved. ","")</f>
        <v/>
      </c>
      <c r="P72" s="15" t="str">
        <f aca="false">IF(AND(ISNUMBER(E72),E72&gt;=Settings!$B$5),"Large amount: review. ","")</f>
        <v/>
      </c>
    </row>
    <row r="73" customFormat="false" ht="15" hidden="false" customHeight="false" outlineLevel="0" collapsed="false">
      <c r="A73" s="10"/>
      <c r="B73" s="11"/>
      <c r="C73" s="11"/>
      <c r="D73" s="11"/>
      <c r="E73" s="12"/>
      <c r="F73" s="11"/>
      <c r="G73" s="11"/>
      <c r="H73" s="11"/>
      <c r="I73" s="13" t="str">
        <f aca="false">IF(NOT(COUNTA($A73:$H73)&gt;0),"",IF(K73&amp;L73&amp;M73&lt;&gt;"","ERROR",IF(N73&amp;O73&amp;P73&lt;&gt;"","CHECK","OK")))</f>
        <v/>
      </c>
      <c r="J73" s="14" t="str">
        <f aca="false">TRIM(K73&amp;L73&amp;M73&amp;N73&amp;O73&amp;P73)</f>
        <v/>
      </c>
      <c r="K73" s="15" t="str">
        <f aca="true">IF(NOT(COUNTA($A73:$H73)&gt;0),"",IF(A73="","Missing date. ",IF(NOT(ISNUMBER(A73)),"Date is not a real date. ",IF(YEAR(A73)&lt;&gt;Settings!$B$4,"Date outside tax year. ",IF(A73&gt;TODAY(),"Date is in the future. ","")))))</f>
        <v/>
      </c>
      <c r="L73" s="15" t="str">
        <f aca="false">IF(NOT(COUNTA($A73:$H73)&gt;0),"",IF(E73="","Missing amount. ",IF(NOT(ISNUMBER(E73)),"Amount is not a number. ",IF(E73&lt;=0,"Amount must be above zero. ",""))))</f>
        <v/>
      </c>
      <c r="M73" s="15" t="str">
        <f aca="false">IF(NOT(COUNTA($A73:$H73)&gt;0),"",IF(D73="","Missing category. ",IF(COUNTIF(Settings!$B$11:$B$40,D73)=0,"Category not in your list. ","")))</f>
        <v/>
      </c>
      <c r="N73" s="15" t="str">
        <f aca="false">IF(AND(ISNUMBER(A73),ISNUMBER(E73),B73&lt;&gt;""),IF(COUNTIFS($A$6:$A$505,A73,$B$6:$B$505,B73,$E$6:$E$505,E73)&gt;1,"Possible duplicate. ",""),"")</f>
        <v/>
      </c>
      <c r="O73" s="15" t="str">
        <f aca="false">IF(AND(ISNUMBER(E73),E73&gt;=Settings!$B$6,G73&lt;&gt;"Yes"),"Receipt not marked as saved. ","")</f>
        <v/>
      </c>
      <c r="P73" s="15" t="str">
        <f aca="false">IF(AND(ISNUMBER(E73),E73&gt;=Settings!$B$5),"Large amount: review. ","")</f>
        <v/>
      </c>
    </row>
    <row r="74" customFormat="false" ht="15" hidden="false" customHeight="false" outlineLevel="0" collapsed="false">
      <c r="A74" s="10"/>
      <c r="B74" s="11"/>
      <c r="C74" s="11"/>
      <c r="D74" s="11"/>
      <c r="E74" s="12"/>
      <c r="F74" s="11"/>
      <c r="G74" s="11"/>
      <c r="H74" s="11"/>
      <c r="I74" s="13" t="str">
        <f aca="false">IF(NOT(COUNTA($A74:$H74)&gt;0),"",IF(K74&amp;L74&amp;M74&lt;&gt;"","ERROR",IF(N74&amp;O74&amp;P74&lt;&gt;"","CHECK","OK")))</f>
        <v/>
      </c>
      <c r="J74" s="14" t="str">
        <f aca="false">TRIM(K74&amp;L74&amp;M74&amp;N74&amp;O74&amp;P74)</f>
        <v/>
      </c>
      <c r="K74" s="15" t="str">
        <f aca="true">IF(NOT(COUNTA($A74:$H74)&gt;0),"",IF(A74="","Missing date. ",IF(NOT(ISNUMBER(A74)),"Date is not a real date. ",IF(YEAR(A74)&lt;&gt;Settings!$B$4,"Date outside tax year. ",IF(A74&gt;TODAY(),"Date is in the future. ","")))))</f>
        <v/>
      </c>
      <c r="L74" s="15" t="str">
        <f aca="false">IF(NOT(COUNTA($A74:$H74)&gt;0),"",IF(E74="","Missing amount. ",IF(NOT(ISNUMBER(E74)),"Amount is not a number. ",IF(E74&lt;=0,"Amount must be above zero. ",""))))</f>
        <v/>
      </c>
      <c r="M74" s="15" t="str">
        <f aca="false">IF(NOT(COUNTA($A74:$H74)&gt;0),"",IF(D74="","Missing category. ",IF(COUNTIF(Settings!$B$11:$B$40,D74)=0,"Category not in your list. ","")))</f>
        <v/>
      </c>
      <c r="N74" s="15" t="str">
        <f aca="false">IF(AND(ISNUMBER(A74),ISNUMBER(E74),B74&lt;&gt;""),IF(COUNTIFS($A$6:$A$505,A74,$B$6:$B$505,B74,$E$6:$E$505,E74)&gt;1,"Possible duplicate. ",""),"")</f>
        <v/>
      </c>
      <c r="O74" s="15" t="str">
        <f aca="false">IF(AND(ISNUMBER(E74),E74&gt;=Settings!$B$6,G74&lt;&gt;"Yes"),"Receipt not marked as saved. ","")</f>
        <v/>
      </c>
      <c r="P74" s="15" t="str">
        <f aca="false">IF(AND(ISNUMBER(E74),E74&gt;=Settings!$B$5),"Large amount: review. ","")</f>
        <v/>
      </c>
    </row>
    <row r="75" customFormat="false" ht="15" hidden="false" customHeight="false" outlineLevel="0" collapsed="false">
      <c r="A75" s="10"/>
      <c r="B75" s="11"/>
      <c r="C75" s="11"/>
      <c r="D75" s="11"/>
      <c r="E75" s="12"/>
      <c r="F75" s="11"/>
      <c r="G75" s="11"/>
      <c r="H75" s="11"/>
      <c r="I75" s="13" t="str">
        <f aca="false">IF(NOT(COUNTA($A75:$H75)&gt;0),"",IF(K75&amp;L75&amp;M75&lt;&gt;"","ERROR",IF(N75&amp;O75&amp;P75&lt;&gt;"","CHECK","OK")))</f>
        <v/>
      </c>
      <c r="J75" s="14" t="str">
        <f aca="false">TRIM(K75&amp;L75&amp;M75&amp;N75&amp;O75&amp;P75)</f>
        <v/>
      </c>
      <c r="K75" s="15" t="str">
        <f aca="true">IF(NOT(COUNTA($A75:$H75)&gt;0),"",IF(A75="","Missing date. ",IF(NOT(ISNUMBER(A75)),"Date is not a real date. ",IF(YEAR(A75)&lt;&gt;Settings!$B$4,"Date outside tax year. ",IF(A75&gt;TODAY(),"Date is in the future. ","")))))</f>
        <v/>
      </c>
      <c r="L75" s="15" t="str">
        <f aca="false">IF(NOT(COUNTA($A75:$H75)&gt;0),"",IF(E75="","Missing amount. ",IF(NOT(ISNUMBER(E75)),"Amount is not a number. ",IF(E75&lt;=0,"Amount must be above zero. ",""))))</f>
        <v/>
      </c>
      <c r="M75" s="15" t="str">
        <f aca="false">IF(NOT(COUNTA($A75:$H75)&gt;0),"",IF(D75="","Missing category. ",IF(COUNTIF(Settings!$B$11:$B$40,D75)=0,"Category not in your list. ","")))</f>
        <v/>
      </c>
      <c r="N75" s="15" t="str">
        <f aca="false">IF(AND(ISNUMBER(A75),ISNUMBER(E75),B75&lt;&gt;""),IF(COUNTIFS($A$6:$A$505,A75,$B$6:$B$505,B75,$E$6:$E$505,E75)&gt;1,"Possible duplicate. ",""),"")</f>
        <v/>
      </c>
      <c r="O75" s="15" t="str">
        <f aca="false">IF(AND(ISNUMBER(E75),E75&gt;=Settings!$B$6,G75&lt;&gt;"Yes"),"Receipt not marked as saved. ","")</f>
        <v/>
      </c>
      <c r="P75" s="15" t="str">
        <f aca="false">IF(AND(ISNUMBER(E75),E75&gt;=Settings!$B$5),"Large amount: review. ","")</f>
        <v/>
      </c>
    </row>
    <row r="76" customFormat="false" ht="15" hidden="false" customHeight="false" outlineLevel="0" collapsed="false">
      <c r="A76" s="10"/>
      <c r="B76" s="11"/>
      <c r="C76" s="11"/>
      <c r="D76" s="11"/>
      <c r="E76" s="12"/>
      <c r="F76" s="11"/>
      <c r="G76" s="11"/>
      <c r="H76" s="11"/>
      <c r="I76" s="13" t="str">
        <f aca="false">IF(NOT(COUNTA($A76:$H76)&gt;0),"",IF(K76&amp;L76&amp;M76&lt;&gt;"","ERROR",IF(N76&amp;O76&amp;P76&lt;&gt;"","CHECK","OK")))</f>
        <v/>
      </c>
      <c r="J76" s="14" t="str">
        <f aca="false">TRIM(K76&amp;L76&amp;M76&amp;N76&amp;O76&amp;P76)</f>
        <v/>
      </c>
      <c r="K76" s="15" t="str">
        <f aca="true">IF(NOT(COUNTA($A76:$H76)&gt;0),"",IF(A76="","Missing date. ",IF(NOT(ISNUMBER(A76)),"Date is not a real date. ",IF(YEAR(A76)&lt;&gt;Settings!$B$4,"Date outside tax year. ",IF(A76&gt;TODAY(),"Date is in the future. ","")))))</f>
        <v/>
      </c>
      <c r="L76" s="15" t="str">
        <f aca="false">IF(NOT(COUNTA($A76:$H76)&gt;0),"",IF(E76="","Missing amount. ",IF(NOT(ISNUMBER(E76)),"Amount is not a number. ",IF(E76&lt;=0,"Amount must be above zero. ",""))))</f>
        <v/>
      </c>
      <c r="M76" s="15" t="str">
        <f aca="false">IF(NOT(COUNTA($A76:$H76)&gt;0),"",IF(D76="","Missing category. ",IF(COUNTIF(Settings!$B$11:$B$40,D76)=0,"Category not in your list. ","")))</f>
        <v/>
      </c>
      <c r="N76" s="15" t="str">
        <f aca="false">IF(AND(ISNUMBER(A76),ISNUMBER(E76),B76&lt;&gt;""),IF(COUNTIFS($A$6:$A$505,A76,$B$6:$B$505,B76,$E$6:$E$505,E76)&gt;1,"Possible duplicate. ",""),"")</f>
        <v/>
      </c>
      <c r="O76" s="15" t="str">
        <f aca="false">IF(AND(ISNUMBER(E76),E76&gt;=Settings!$B$6,G76&lt;&gt;"Yes"),"Receipt not marked as saved. ","")</f>
        <v/>
      </c>
      <c r="P76" s="15" t="str">
        <f aca="false">IF(AND(ISNUMBER(E76),E76&gt;=Settings!$B$5),"Large amount: review. ","")</f>
        <v/>
      </c>
    </row>
    <row r="77" customFormat="false" ht="15" hidden="false" customHeight="false" outlineLevel="0" collapsed="false">
      <c r="A77" s="10"/>
      <c r="B77" s="11"/>
      <c r="C77" s="11"/>
      <c r="D77" s="11"/>
      <c r="E77" s="12"/>
      <c r="F77" s="11"/>
      <c r="G77" s="11"/>
      <c r="H77" s="11"/>
      <c r="I77" s="13" t="str">
        <f aca="false">IF(NOT(COUNTA($A77:$H77)&gt;0),"",IF(K77&amp;L77&amp;M77&lt;&gt;"","ERROR",IF(N77&amp;O77&amp;P77&lt;&gt;"","CHECK","OK")))</f>
        <v/>
      </c>
      <c r="J77" s="14" t="str">
        <f aca="false">TRIM(K77&amp;L77&amp;M77&amp;N77&amp;O77&amp;P77)</f>
        <v/>
      </c>
      <c r="K77" s="15" t="str">
        <f aca="true">IF(NOT(COUNTA($A77:$H77)&gt;0),"",IF(A77="","Missing date. ",IF(NOT(ISNUMBER(A77)),"Date is not a real date. ",IF(YEAR(A77)&lt;&gt;Settings!$B$4,"Date outside tax year. ",IF(A77&gt;TODAY(),"Date is in the future. ","")))))</f>
        <v/>
      </c>
      <c r="L77" s="15" t="str">
        <f aca="false">IF(NOT(COUNTA($A77:$H77)&gt;0),"",IF(E77="","Missing amount. ",IF(NOT(ISNUMBER(E77)),"Amount is not a number. ",IF(E77&lt;=0,"Amount must be above zero. ",""))))</f>
        <v/>
      </c>
      <c r="M77" s="15" t="str">
        <f aca="false">IF(NOT(COUNTA($A77:$H77)&gt;0),"",IF(D77="","Missing category. ",IF(COUNTIF(Settings!$B$11:$B$40,D77)=0,"Category not in your list. ","")))</f>
        <v/>
      </c>
      <c r="N77" s="15" t="str">
        <f aca="false">IF(AND(ISNUMBER(A77),ISNUMBER(E77),B77&lt;&gt;""),IF(COUNTIFS($A$6:$A$505,A77,$B$6:$B$505,B77,$E$6:$E$505,E77)&gt;1,"Possible duplicate. ",""),"")</f>
        <v/>
      </c>
      <c r="O77" s="15" t="str">
        <f aca="false">IF(AND(ISNUMBER(E77),E77&gt;=Settings!$B$6,G77&lt;&gt;"Yes"),"Receipt not marked as saved. ","")</f>
        <v/>
      </c>
      <c r="P77" s="15" t="str">
        <f aca="false">IF(AND(ISNUMBER(E77),E77&gt;=Settings!$B$5),"Large amount: review. ","")</f>
        <v/>
      </c>
    </row>
    <row r="78" customFormat="false" ht="15" hidden="false" customHeight="false" outlineLevel="0" collapsed="false">
      <c r="A78" s="10"/>
      <c r="B78" s="11"/>
      <c r="C78" s="11"/>
      <c r="D78" s="11"/>
      <c r="E78" s="12"/>
      <c r="F78" s="11"/>
      <c r="G78" s="11"/>
      <c r="H78" s="11"/>
      <c r="I78" s="13" t="str">
        <f aca="false">IF(NOT(COUNTA($A78:$H78)&gt;0),"",IF(K78&amp;L78&amp;M78&lt;&gt;"","ERROR",IF(N78&amp;O78&amp;P78&lt;&gt;"","CHECK","OK")))</f>
        <v/>
      </c>
      <c r="J78" s="14" t="str">
        <f aca="false">TRIM(K78&amp;L78&amp;M78&amp;N78&amp;O78&amp;P78)</f>
        <v/>
      </c>
      <c r="K78" s="15" t="str">
        <f aca="true">IF(NOT(COUNTA($A78:$H78)&gt;0),"",IF(A78="","Missing date. ",IF(NOT(ISNUMBER(A78)),"Date is not a real date. ",IF(YEAR(A78)&lt;&gt;Settings!$B$4,"Date outside tax year. ",IF(A78&gt;TODAY(),"Date is in the future. ","")))))</f>
        <v/>
      </c>
      <c r="L78" s="15" t="str">
        <f aca="false">IF(NOT(COUNTA($A78:$H78)&gt;0),"",IF(E78="","Missing amount. ",IF(NOT(ISNUMBER(E78)),"Amount is not a number. ",IF(E78&lt;=0,"Amount must be above zero. ",""))))</f>
        <v/>
      </c>
      <c r="M78" s="15" t="str">
        <f aca="false">IF(NOT(COUNTA($A78:$H78)&gt;0),"",IF(D78="","Missing category. ",IF(COUNTIF(Settings!$B$11:$B$40,D78)=0,"Category not in your list. ","")))</f>
        <v/>
      </c>
      <c r="N78" s="15" t="str">
        <f aca="false">IF(AND(ISNUMBER(A78),ISNUMBER(E78),B78&lt;&gt;""),IF(COUNTIFS($A$6:$A$505,A78,$B$6:$B$505,B78,$E$6:$E$505,E78)&gt;1,"Possible duplicate. ",""),"")</f>
        <v/>
      </c>
      <c r="O78" s="15" t="str">
        <f aca="false">IF(AND(ISNUMBER(E78),E78&gt;=Settings!$B$6,G78&lt;&gt;"Yes"),"Receipt not marked as saved. ","")</f>
        <v/>
      </c>
      <c r="P78" s="15" t="str">
        <f aca="false">IF(AND(ISNUMBER(E78),E78&gt;=Settings!$B$5),"Large amount: review. ","")</f>
        <v/>
      </c>
    </row>
    <row r="79" customFormat="false" ht="15" hidden="false" customHeight="false" outlineLevel="0" collapsed="false">
      <c r="A79" s="10"/>
      <c r="B79" s="11"/>
      <c r="C79" s="11"/>
      <c r="D79" s="11"/>
      <c r="E79" s="12"/>
      <c r="F79" s="11"/>
      <c r="G79" s="11"/>
      <c r="H79" s="11"/>
      <c r="I79" s="13" t="str">
        <f aca="false">IF(NOT(COUNTA($A79:$H79)&gt;0),"",IF(K79&amp;L79&amp;M79&lt;&gt;"","ERROR",IF(N79&amp;O79&amp;P79&lt;&gt;"","CHECK","OK")))</f>
        <v/>
      </c>
      <c r="J79" s="14" t="str">
        <f aca="false">TRIM(K79&amp;L79&amp;M79&amp;N79&amp;O79&amp;P79)</f>
        <v/>
      </c>
      <c r="K79" s="15" t="str">
        <f aca="true">IF(NOT(COUNTA($A79:$H79)&gt;0),"",IF(A79="","Missing date. ",IF(NOT(ISNUMBER(A79)),"Date is not a real date. ",IF(YEAR(A79)&lt;&gt;Settings!$B$4,"Date outside tax year. ",IF(A79&gt;TODAY(),"Date is in the future. ","")))))</f>
        <v/>
      </c>
      <c r="L79" s="15" t="str">
        <f aca="false">IF(NOT(COUNTA($A79:$H79)&gt;0),"",IF(E79="","Missing amount. ",IF(NOT(ISNUMBER(E79)),"Amount is not a number. ",IF(E79&lt;=0,"Amount must be above zero. ",""))))</f>
        <v/>
      </c>
      <c r="M79" s="15" t="str">
        <f aca="false">IF(NOT(COUNTA($A79:$H79)&gt;0),"",IF(D79="","Missing category. ",IF(COUNTIF(Settings!$B$11:$B$40,D79)=0,"Category not in your list. ","")))</f>
        <v/>
      </c>
      <c r="N79" s="15" t="str">
        <f aca="false">IF(AND(ISNUMBER(A79),ISNUMBER(E79),B79&lt;&gt;""),IF(COUNTIFS($A$6:$A$505,A79,$B$6:$B$505,B79,$E$6:$E$505,E79)&gt;1,"Possible duplicate. ",""),"")</f>
        <v/>
      </c>
      <c r="O79" s="15" t="str">
        <f aca="false">IF(AND(ISNUMBER(E79),E79&gt;=Settings!$B$6,G79&lt;&gt;"Yes"),"Receipt not marked as saved. ","")</f>
        <v/>
      </c>
      <c r="P79" s="15" t="str">
        <f aca="false">IF(AND(ISNUMBER(E79),E79&gt;=Settings!$B$5),"Large amount: review. ","")</f>
        <v/>
      </c>
    </row>
    <row r="80" customFormat="false" ht="15" hidden="false" customHeight="false" outlineLevel="0" collapsed="false">
      <c r="A80" s="10"/>
      <c r="B80" s="11"/>
      <c r="C80" s="11"/>
      <c r="D80" s="11"/>
      <c r="E80" s="12"/>
      <c r="F80" s="11"/>
      <c r="G80" s="11"/>
      <c r="H80" s="11"/>
      <c r="I80" s="13" t="str">
        <f aca="false">IF(NOT(COUNTA($A80:$H80)&gt;0),"",IF(K80&amp;L80&amp;M80&lt;&gt;"","ERROR",IF(N80&amp;O80&amp;P80&lt;&gt;"","CHECK","OK")))</f>
        <v/>
      </c>
      <c r="J80" s="14" t="str">
        <f aca="false">TRIM(K80&amp;L80&amp;M80&amp;N80&amp;O80&amp;P80)</f>
        <v/>
      </c>
      <c r="K80" s="15" t="str">
        <f aca="true">IF(NOT(COUNTA($A80:$H80)&gt;0),"",IF(A80="","Missing date. ",IF(NOT(ISNUMBER(A80)),"Date is not a real date. ",IF(YEAR(A80)&lt;&gt;Settings!$B$4,"Date outside tax year. ",IF(A80&gt;TODAY(),"Date is in the future. ","")))))</f>
        <v/>
      </c>
      <c r="L80" s="15" t="str">
        <f aca="false">IF(NOT(COUNTA($A80:$H80)&gt;0),"",IF(E80="","Missing amount. ",IF(NOT(ISNUMBER(E80)),"Amount is not a number. ",IF(E80&lt;=0,"Amount must be above zero. ",""))))</f>
        <v/>
      </c>
      <c r="M80" s="15" t="str">
        <f aca="false">IF(NOT(COUNTA($A80:$H80)&gt;0),"",IF(D80="","Missing category. ",IF(COUNTIF(Settings!$B$11:$B$40,D80)=0,"Category not in your list. ","")))</f>
        <v/>
      </c>
      <c r="N80" s="15" t="str">
        <f aca="false">IF(AND(ISNUMBER(A80),ISNUMBER(E80),B80&lt;&gt;""),IF(COUNTIFS($A$6:$A$505,A80,$B$6:$B$505,B80,$E$6:$E$505,E80)&gt;1,"Possible duplicate. ",""),"")</f>
        <v/>
      </c>
      <c r="O80" s="15" t="str">
        <f aca="false">IF(AND(ISNUMBER(E80),E80&gt;=Settings!$B$6,G80&lt;&gt;"Yes"),"Receipt not marked as saved. ","")</f>
        <v/>
      </c>
      <c r="P80" s="15" t="str">
        <f aca="false">IF(AND(ISNUMBER(E80),E80&gt;=Settings!$B$5),"Large amount: review. ","")</f>
        <v/>
      </c>
    </row>
    <row r="81" customFormat="false" ht="15" hidden="false" customHeight="false" outlineLevel="0" collapsed="false">
      <c r="A81" s="10"/>
      <c r="B81" s="11"/>
      <c r="C81" s="11"/>
      <c r="D81" s="11"/>
      <c r="E81" s="12"/>
      <c r="F81" s="11"/>
      <c r="G81" s="11"/>
      <c r="H81" s="11"/>
      <c r="I81" s="13" t="str">
        <f aca="false">IF(NOT(COUNTA($A81:$H81)&gt;0),"",IF(K81&amp;L81&amp;M81&lt;&gt;"","ERROR",IF(N81&amp;O81&amp;P81&lt;&gt;"","CHECK","OK")))</f>
        <v/>
      </c>
      <c r="J81" s="14" t="str">
        <f aca="false">TRIM(K81&amp;L81&amp;M81&amp;N81&amp;O81&amp;P81)</f>
        <v/>
      </c>
      <c r="K81" s="15" t="str">
        <f aca="true">IF(NOT(COUNTA($A81:$H81)&gt;0),"",IF(A81="","Missing date. ",IF(NOT(ISNUMBER(A81)),"Date is not a real date. ",IF(YEAR(A81)&lt;&gt;Settings!$B$4,"Date outside tax year. ",IF(A81&gt;TODAY(),"Date is in the future. ","")))))</f>
        <v/>
      </c>
      <c r="L81" s="15" t="str">
        <f aca="false">IF(NOT(COUNTA($A81:$H81)&gt;0),"",IF(E81="","Missing amount. ",IF(NOT(ISNUMBER(E81)),"Amount is not a number. ",IF(E81&lt;=0,"Amount must be above zero. ",""))))</f>
        <v/>
      </c>
      <c r="M81" s="15" t="str">
        <f aca="false">IF(NOT(COUNTA($A81:$H81)&gt;0),"",IF(D81="","Missing category. ",IF(COUNTIF(Settings!$B$11:$B$40,D81)=0,"Category not in your list. ","")))</f>
        <v/>
      </c>
      <c r="N81" s="15" t="str">
        <f aca="false">IF(AND(ISNUMBER(A81),ISNUMBER(E81),B81&lt;&gt;""),IF(COUNTIFS($A$6:$A$505,A81,$B$6:$B$505,B81,$E$6:$E$505,E81)&gt;1,"Possible duplicate. ",""),"")</f>
        <v/>
      </c>
      <c r="O81" s="15" t="str">
        <f aca="false">IF(AND(ISNUMBER(E81),E81&gt;=Settings!$B$6,G81&lt;&gt;"Yes"),"Receipt not marked as saved. ","")</f>
        <v/>
      </c>
      <c r="P81" s="15" t="str">
        <f aca="false">IF(AND(ISNUMBER(E81),E81&gt;=Settings!$B$5),"Large amount: review. ","")</f>
        <v/>
      </c>
    </row>
    <row r="82" customFormat="false" ht="15" hidden="false" customHeight="false" outlineLevel="0" collapsed="false">
      <c r="A82" s="10"/>
      <c r="B82" s="11"/>
      <c r="C82" s="11"/>
      <c r="D82" s="11"/>
      <c r="E82" s="12"/>
      <c r="F82" s="11"/>
      <c r="G82" s="11"/>
      <c r="H82" s="11"/>
      <c r="I82" s="13" t="str">
        <f aca="false">IF(NOT(COUNTA($A82:$H82)&gt;0),"",IF(K82&amp;L82&amp;M82&lt;&gt;"","ERROR",IF(N82&amp;O82&amp;P82&lt;&gt;"","CHECK","OK")))</f>
        <v/>
      </c>
      <c r="J82" s="14" t="str">
        <f aca="false">TRIM(K82&amp;L82&amp;M82&amp;N82&amp;O82&amp;P82)</f>
        <v/>
      </c>
      <c r="K82" s="15" t="str">
        <f aca="true">IF(NOT(COUNTA($A82:$H82)&gt;0),"",IF(A82="","Missing date. ",IF(NOT(ISNUMBER(A82)),"Date is not a real date. ",IF(YEAR(A82)&lt;&gt;Settings!$B$4,"Date outside tax year. ",IF(A82&gt;TODAY(),"Date is in the future. ","")))))</f>
        <v/>
      </c>
      <c r="L82" s="15" t="str">
        <f aca="false">IF(NOT(COUNTA($A82:$H82)&gt;0),"",IF(E82="","Missing amount. ",IF(NOT(ISNUMBER(E82)),"Amount is not a number. ",IF(E82&lt;=0,"Amount must be above zero. ",""))))</f>
        <v/>
      </c>
      <c r="M82" s="15" t="str">
        <f aca="false">IF(NOT(COUNTA($A82:$H82)&gt;0),"",IF(D82="","Missing category. ",IF(COUNTIF(Settings!$B$11:$B$40,D82)=0,"Category not in your list. ","")))</f>
        <v/>
      </c>
      <c r="N82" s="15" t="str">
        <f aca="false">IF(AND(ISNUMBER(A82),ISNUMBER(E82),B82&lt;&gt;""),IF(COUNTIFS($A$6:$A$505,A82,$B$6:$B$505,B82,$E$6:$E$505,E82)&gt;1,"Possible duplicate. ",""),"")</f>
        <v/>
      </c>
      <c r="O82" s="15" t="str">
        <f aca="false">IF(AND(ISNUMBER(E82),E82&gt;=Settings!$B$6,G82&lt;&gt;"Yes"),"Receipt not marked as saved. ","")</f>
        <v/>
      </c>
      <c r="P82" s="15" t="str">
        <f aca="false">IF(AND(ISNUMBER(E82),E82&gt;=Settings!$B$5),"Large amount: review. ","")</f>
        <v/>
      </c>
    </row>
    <row r="83" customFormat="false" ht="15" hidden="false" customHeight="false" outlineLevel="0" collapsed="false">
      <c r="A83" s="10"/>
      <c r="B83" s="11"/>
      <c r="C83" s="11"/>
      <c r="D83" s="11"/>
      <c r="E83" s="12"/>
      <c r="F83" s="11"/>
      <c r="G83" s="11"/>
      <c r="H83" s="11"/>
      <c r="I83" s="13" t="str">
        <f aca="false">IF(NOT(COUNTA($A83:$H83)&gt;0),"",IF(K83&amp;L83&amp;M83&lt;&gt;"","ERROR",IF(N83&amp;O83&amp;P83&lt;&gt;"","CHECK","OK")))</f>
        <v/>
      </c>
      <c r="J83" s="14" t="str">
        <f aca="false">TRIM(K83&amp;L83&amp;M83&amp;N83&amp;O83&amp;P83)</f>
        <v/>
      </c>
      <c r="K83" s="15" t="str">
        <f aca="true">IF(NOT(COUNTA($A83:$H83)&gt;0),"",IF(A83="","Missing date. ",IF(NOT(ISNUMBER(A83)),"Date is not a real date. ",IF(YEAR(A83)&lt;&gt;Settings!$B$4,"Date outside tax year. ",IF(A83&gt;TODAY(),"Date is in the future. ","")))))</f>
        <v/>
      </c>
      <c r="L83" s="15" t="str">
        <f aca="false">IF(NOT(COUNTA($A83:$H83)&gt;0),"",IF(E83="","Missing amount. ",IF(NOT(ISNUMBER(E83)),"Amount is not a number. ",IF(E83&lt;=0,"Amount must be above zero. ",""))))</f>
        <v/>
      </c>
      <c r="M83" s="15" t="str">
        <f aca="false">IF(NOT(COUNTA($A83:$H83)&gt;0),"",IF(D83="","Missing category. ",IF(COUNTIF(Settings!$B$11:$B$40,D83)=0,"Category not in your list. ","")))</f>
        <v/>
      </c>
      <c r="N83" s="15" t="str">
        <f aca="false">IF(AND(ISNUMBER(A83),ISNUMBER(E83),B83&lt;&gt;""),IF(COUNTIFS($A$6:$A$505,A83,$B$6:$B$505,B83,$E$6:$E$505,E83)&gt;1,"Possible duplicate. ",""),"")</f>
        <v/>
      </c>
      <c r="O83" s="15" t="str">
        <f aca="false">IF(AND(ISNUMBER(E83),E83&gt;=Settings!$B$6,G83&lt;&gt;"Yes"),"Receipt not marked as saved. ","")</f>
        <v/>
      </c>
      <c r="P83" s="15" t="str">
        <f aca="false">IF(AND(ISNUMBER(E83),E83&gt;=Settings!$B$5),"Large amount: review. ","")</f>
        <v/>
      </c>
    </row>
    <row r="84" customFormat="false" ht="15" hidden="false" customHeight="false" outlineLevel="0" collapsed="false">
      <c r="A84" s="10"/>
      <c r="B84" s="11"/>
      <c r="C84" s="11"/>
      <c r="D84" s="11"/>
      <c r="E84" s="12"/>
      <c r="F84" s="11"/>
      <c r="G84" s="11"/>
      <c r="H84" s="11"/>
      <c r="I84" s="13" t="str">
        <f aca="false">IF(NOT(COUNTA($A84:$H84)&gt;0),"",IF(K84&amp;L84&amp;M84&lt;&gt;"","ERROR",IF(N84&amp;O84&amp;P84&lt;&gt;"","CHECK","OK")))</f>
        <v/>
      </c>
      <c r="J84" s="14" t="str">
        <f aca="false">TRIM(K84&amp;L84&amp;M84&amp;N84&amp;O84&amp;P84)</f>
        <v/>
      </c>
      <c r="K84" s="15" t="str">
        <f aca="true">IF(NOT(COUNTA($A84:$H84)&gt;0),"",IF(A84="","Missing date. ",IF(NOT(ISNUMBER(A84)),"Date is not a real date. ",IF(YEAR(A84)&lt;&gt;Settings!$B$4,"Date outside tax year. ",IF(A84&gt;TODAY(),"Date is in the future. ","")))))</f>
        <v/>
      </c>
      <c r="L84" s="15" t="str">
        <f aca="false">IF(NOT(COUNTA($A84:$H84)&gt;0),"",IF(E84="","Missing amount. ",IF(NOT(ISNUMBER(E84)),"Amount is not a number. ",IF(E84&lt;=0,"Amount must be above zero. ",""))))</f>
        <v/>
      </c>
      <c r="M84" s="15" t="str">
        <f aca="false">IF(NOT(COUNTA($A84:$H84)&gt;0),"",IF(D84="","Missing category. ",IF(COUNTIF(Settings!$B$11:$B$40,D84)=0,"Category not in your list. ","")))</f>
        <v/>
      </c>
      <c r="N84" s="15" t="str">
        <f aca="false">IF(AND(ISNUMBER(A84),ISNUMBER(E84),B84&lt;&gt;""),IF(COUNTIFS($A$6:$A$505,A84,$B$6:$B$505,B84,$E$6:$E$505,E84)&gt;1,"Possible duplicate. ",""),"")</f>
        <v/>
      </c>
      <c r="O84" s="15" t="str">
        <f aca="false">IF(AND(ISNUMBER(E84),E84&gt;=Settings!$B$6,G84&lt;&gt;"Yes"),"Receipt not marked as saved. ","")</f>
        <v/>
      </c>
      <c r="P84" s="15" t="str">
        <f aca="false">IF(AND(ISNUMBER(E84),E84&gt;=Settings!$B$5),"Large amount: review. ","")</f>
        <v/>
      </c>
    </row>
    <row r="85" customFormat="false" ht="15" hidden="false" customHeight="false" outlineLevel="0" collapsed="false">
      <c r="A85" s="10"/>
      <c r="B85" s="11"/>
      <c r="C85" s="11"/>
      <c r="D85" s="11"/>
      <c r="E85" s="12"/>
      <c r="F85" s="11"/>
      <c r="G85" s="11"/>
      <c r="H85" s="11"/>
      <c r="I85" s="13" t="str">
        <f aca="false">IF(NOT(COUNTA($A85:$H85)&gt;0),"",IF(K85&amp;L85&amp;M85&lt;&gt;"","ERROR",IF(N85&amp;O85&amp;P85&lt;&gt;"","CHECK","OK")))</f>
        <v/>
      </c>
      <c r="J85" s="14" t="str">
        <f aca="false">TRIM(K85&amp;L85&amp;M85&amp;N85&amp;O85&amp;P85)</f>
        <v/>
      </c>
      <c r="K85" s="15" t="str">
        <f aca="true">IF(NOT(COUNTA($A85:$H85)&gt;0),"",IF(A85="","Missing date. ",IF(NOT(ISNUMBER(A85)),"Date is not a real date. ",IF(YEAR(A85)&lt;&gt;Settings!$B$4,"Date outside tax year. ",IF(A85&gt;TODAY(),"Date is in the future. ","")))))</f>
        <v/>
      </c>
      <c r="L85" s="15" t="str">
        <f aca="false">IF(NOT(COUNTA($A85:$H85)&gt;0),"",IF(E85="","Missing amount. ",IF(NOT(ISNUMBER(E85)),"Amount is not a number. ",IF(E85&lt;=0,"Amount must be above zero. ",""))))</f>
        <v/>
      </c>
      <c r="M85" s="15" t="str">
        <f aca="false">IF(NOT(COUNTA($A85:$H85)&gt;0),"",IF(D85="","Missing category. ",IF(COUNTIF(Settings!$B$11:$B$40,D85)=0,"Category not in your list. ","")))</f>
        <v/>
      </c>
      <c r="N85" s="15" t="str">
        <f aca="false">IF(AND(ISNUMBER(A85),ISNUMBER(E85),B85&lt;&gt;""),IF(COUNTIFS($A$6:$A$505,A85,$B$6:$B$505,B85,$E$6:$E$505,E85)&gt;1,"Possible duplicate. ",""),"")</f>
        <v/>
      </c>
      <c r="O85" s="15" t="str">
        <f aca="false">IF(AND(ISNUMBER(E85),E85&gt;=Settings!$B$6,G85&lt;&gt;"Yes"),"Receipt not marked as saved. ","")</f>
        <v/>
      </c>
      <c r="P85" s="15" t="str">
        <f aca="false">IF(AND(ISNUMBER(E85),E85&gt;=Settings!$B$5),"Large amount: review. ","")</f>
        <v/>
      </c>
    </row>
    <row r="86" customFormat="false" ht="15" hidden="false" customHeight="false" outlineLevel="0" collapsed="false">
      <c r="A86" s="10"/>
      <c r="B86" s="11"/>
      <c r="C86" s="11"/>
      <c r="D86" s="11"/>
      <c r="E86" s="12"/>
      <c r="F86" s="11"/>
      <c r="G86" s="11"/>
      <c r="H86" s="11"/>
      <c r="I86" s="13" t="str">
        <f aca="false">IF(NOT(COUNTA($A86:$H86)&gt;0),"",IF(K86&amp;L86&amp;M86&lt;&gt;"","ERROR",IF(N86&amp;O86&amp;P86&lt;&gt;"","CHECK","OK")))</f>
        <v/>
      </c>
      <c r="J86" s="14" t="str">
        <f aca="false">TRIM(K86&amp;L86&amp;M86&amp;N86&amp;O86&amp;P86)</f>
        <v/>
      </c>
      <c r="K86" s="15" t="str">
        <f aca="true">IF(NOT(COUNTA($A86:$H86)&gt;0),"",IF(A86="","Missing date. ",IF(NOT(ISNUMBER(A86)),"Date is not a real date. ",IF(YEAR(A86)&lt;&gt;Settings!$B$4,"Date outside tax year. ",IF(A86&gt;TODAY(),"Date is in the future. ","")))))</f>
        <v/>
      </c>
      <c r="L86" s="15" t="str">
        <f aca="false">IF(NOT(COUNTA($A86:$H86)&gt;0),"",IF(E86="","Missing amount. ",IF(NOT(ISNUMBER(E86)),"Amount is not a number. ",IF(E86&lt;=0,"Amount must be above zero. ",""))))</f>
        <v/>
      </c>
      <c r="M86" s="15" t="str">
        <f aca="false">IF(NOT(COUNTA($A86:$H86)&gt;0),"",IF(D86="","Missing category. ",IF(COUNTIF(Settings!$B$11:$B$40,D86)=0,"Category not in your list. ","")))</f>
        <v/>
      </c>
      <c r="N86" s="15" t="str">
        <f aca="false">IF(AND(ISNUMBER(A86),ISNUMBER(E86),B86&lt;&gt;""),IF(COUNTIFS($A$6:$A$505,A86,$B$6:$B$505,B86,$E$6:$E$505,E86)&gt;1,"Possible duplicate. ",""),"")</f>
        <v/>
      </c>
      <c r="O86" s="15" t="str">
        <f aca="false">IF(AND(ISNUMBER(E86),E86&gt;=Settings!$B$6,G86&lt;&gt;"Yes"),"Receipt not marked as saved. ","")</f>
        <v/>
      </c>
      <c r="P86" s="15" t="str">
        <f aca="false">IF(AND(ISNUMBER(E86),E86&gt;=Settings!$B$5),"Large amount: review. ","")</f>
        <v/>
      </c>
    </row>
    <row r="87" customFormat="false" ht="15" hidden="false" customHeight="false" outlineLevel="0" collapsed="false">
      <c r="A87" s="10"/>
      <c r="B87" s="11"/>
      <c r="C87" s="11"/>
      <c r="D87" s="11"/>
      <c r="E87" s="12"/>
      <c r="F87" s="11"/>
      <c r="G87" s="11"/>
      <c r="H87" s="11"/>
      <c r="I87" s="13" t="str">
        <f aca="false">IF(NOT(COUNTA($A87:$H87)&gt;0),"",IF(K87&amp;L87&amp;M87&lt;&gt;"","ERROR",IF(N87&amp;O87&amp;P87&lt;&gt;"","CHECK","OK")))</f>
        <v/>
      </c>
      <c r="J87" s="14" t="str">
        <f aca="false">TRIM(K87&amp;L87&amp;M87&amp;N87&amp;O87&amp;P87)</f>
        <v/>
      </c>
      <c r="K87" s="15" t="str">
        <f aca="true">IF(NOT(COUNTA($A87:$H87)&gt;0),"",IF(A87="","Missing date. ",IF(NOT(ISNUMBER(A87)),"Date is not a real date. ",IF(YEAR(A87)&lt;&gt;Settings!$B$4,"Date outside tax year. ",IF(A87&gt;TODAY(),"Date is in the future. ","")))))</f>
        <v/>
      </c>
      <c r="L87" s="15" t="str">
        <f aca="false">IF(NOT(COUNTA($A87:$H87)&gt;0),"",IF(E87="","Missing amount. ",IF(NOT(ISNUMBER(E87)),"Amount is not a number. ",IF(E87&lt;=0,"Amount must be above zero. ",""))))</f>
        <v/>
      </c>
      <c r="M87" s="15" t="str">
        <f aca="false">IF(NOT(COUNTA($A87:$H87)&gt;0),"",IF(D87="","Missing category. ",IF(COUNTIF(Settings!$B$11:$B$40,D87)=0,"Category not in your list. ","")))</f>
        <v/>
      </c>
      <c r="N87" s="15" t="str">
        <f aca="false">IF(AND(ISNUMBER(A87),ISNUMBER(E87),B87&lt;&gt;""),IF(COUNTIFS($A$6:$A$505,A87,$B$6:$B$505,B87,$E$6:$E$505,E87)&gt;1,"Possible duplicate. ",""),"")</f>
        <v/>
      </c>
      <c r="O87" s="15" t="str">
        <f aca="false">IF(AND(ISNUMBER(E87),E87&gt;=Settings!$B$6,G87&lt;&gt;"Yes"),"Receipt not marked as saved. ","")</f>
        <v/>
      </c>
      <c r="P87" s="15" t="str">
        <f aca="false">IF(AND(ISNUMBER(E87),E87&gt;=Settings!$B$5),"Large amount: review. ","")</f>
        <v/>
      </c>
    </row>
    <row r="88" customFormat="false" ht="15" hidden="false" customHeight="false" outlineLevel="0" collapsed="false">
      <c r="A88" s="10"/>
      <c r="B88" s="11"/>
      <c r="C88" s="11"/>
      <c r="D88" s="11"/>
      <c r="E88" s="12"/>
      <c r="F88" s="11"/>
      <c r="G88" s="11"/>
      <c r="H88" s="11"/>
      <c r="I88" s="13" t="str">
        <f aca="false">IF(NOT(COUNTA($A88:$H88)&gt;0),"",IF(K88&amp;L88&amp;M88&lt;&gt;"","ERROR",IF(N88&amp;O88&amp;P88&lt;&gt;"","CHECK","OK")))</f>
        <v/>
      </c>
      <c r="J88" s="14" t="str">
        <f aca="false">TRIM(K88&amp;L88&amp;M88&amp;N88&amp;O88&amp;P88)</f>
        <v/>
      </c>
      <c r="K88" s="15" t="str">
        <f aca="true">IF(NOT(COUNTA($A88:$H88)&gt;0),"",IF(A88="","Missing date. ",IF(NOT(ISNUMBER(A88)),"Date is not a real date. ",IF(YEAR(A88)&lt;&gt;Settings!$B$4,"Date outside tax year. ",IF(A88&gt;TODAY(),"Date is in the future. ","")))))</f>
        <v/>
      </c>
      <c r="L88" s="15" t="str">
        <f aca="false">IF(NOT(COUNTA($A88:$H88)&gt;0),"",IF(E88="","Missing amount. ",IF(NOT(ISNUMBER(E88)),"Amount is not a number. ",IF(E88&lt;=0,"Amount must be above zero. ",""))))</f>
        <v/>
      </c>
      <c r="M88" s="15" t="str">
        <f aca="false">IF(NOT(COUNTA($A88:$H88)&gt;0),"",IF(D88="","Missing category. ",IF(COUNTIF(Settings!$B$11:$B$40,D88)=0,"Category not in your list. ","")))</f>
        <v/>
      </c>
      <c r="N88" s="15" t="str">
        <f aca="false">IF(AND(ISNUMBER(A88),ISNUMBER(E88),B88&lt;&gt;""),IF(COUNTIFS($A$6:$A$505,A88,$B$6:$B$505,B88,$E$6:$E$505,E88)&gt;1,"Possible duplicate. ",""),"")</f>
        <v/>
      </c>
      <c r="O88" s="15" t="str">
        <f aca="false">IF(AND(ISNUMBER(E88),E88&gt;=Settings!$B$6,G88&lt;&gt;"Yes"),"Receipt not marked as saved. ","")</f>
        <v/>
      </c>
      <c r="P88" s="15" t="str">
        <f aca="false">IF(AND(ISNUMBER(E88),E88&gt;=Settings!$B$5),"Large amount: review. ","")</f>
        <v/>
      </c>
    </row>
    <row r="89" customFormat="false" ht="15" hidden="false" customHeight="false" outlineLevel="0" collapsed="false">
      <c r="A89" s="10"/>
      <c r="B89" s="11"/>
      <c r="C89" s="11"/>
      <c r="D89" s="11"/>
      <c r="E89" s="12"/>
      <c r="F89" s="11"/>
      <c r="G89" s="11"/>
      <c r="H89" s="11"/>
      <c r="I89" s="13" t="str">
        <f aca="false">IF(NOT(COUNTA($A89:$H89)&gt;0),"",IF(K89&amp;L89&amp;M89&lt;&gt;"","ERROR",IF(N89&amp;O89&amp;P89&lt;&gt;"","CHECK","OK")))</f>
        <v/>
      </c>
      <c r="J89" s="14" t="str">
        <f aca="false">TRIM(K89&amp;L89&amp;M89&amp;N89&amp;O89&amp;P89)</f>
        <v/>
      </c>
      <c r="K89" s="15" t="str">
        <f aca="true">IF(NOT(COUNTA($A89:$H89)&gt;0),"",IF(A89="","Missing date. ",IF(NOT(ISNUMBER(A89)),"Date is not a real date. ",IF(YEAR(A89)&lt;&gt;Settings!$B$4,"Date outside tax year. ",IF(A89&gt;TODAY(),"Date is in the future. ","")))))</f>
        <v/>
      </c>
      <c r="L89" s="15" t="str">
        <f aca="false">IF(NOT(COUNTA($A89:$H89)&gt;0),"",IF(E89="","Missing amount. ",IF(NOT(ISNUMBER(E89)),"Amount is not a number. ",IF(E89&lt;=0,"Amount must be above zero. ",""))))</f>
        <v/>
      </c>
      <c r="M89" s="15" t="str">
        <f aca="false">IF(NOT(COUNTA($A89:$H89)&gt;0),"",IF(D89="","Missing category. ",IF(COUNTIF(Settings!$B$11:$B$40,D89)=0,"Category not in your list. ","")))</f>
        <v/>
      </c>
      <c r="N89" s="15" t="str">
        <f aca="false">IF(AND(ISNUMBER(A89),ISNUMBER(E89),B89&lt;&gt;""),IF(COUNTIFS($A$6:$A$505,A89,$B$6:$B$505,B89,$E$6:$E$505,E89)&gt;1,"Possible duplicate. ",""),"")</f>
        <v/>
      </c>
      <c r="O89" s="15" t="str">
        <f aca="false">IF(AND(ISNUMBER(E89),E89&gt;=Settings!$B$6,G89&lt;&gt;"Yes"),"Receipt not marked as saved. ","")</f>
        <v/>
      </c>
      <c r="P89" s="15" t="str">
        <f aca="false">IF(AND(ISNUMBER(E89),E89&gt;=Settings!$B$5),"Large amount: review. ","")</f>
        <v/>
      </c>
    </row>
    <row r="90" customFormat="false" ht="15" hidden="false" customHeight="false" outlineLevel="0" collapsed="false">
      <c r="A90" s="10"/>
      <c r="B90" s="11"/>
      <c r="C90" s="11"/>
      <c r="D90" s="11"/>
      <c r="E90" s="12"/>
      <c r="F90" s="11"/>
      <c r="G90" s="11"/>
      <c r="H90" s="11"/>
      <c r="I90" s="13" t="str">
        <f aca="false">IF(NOT(COUNTA($A90:$H90)&gt;0),"",IF(K90&amp;L90&amp;M90&lt;&gt;"","ERROR",IF(N90&amp;O90&amp;P90&lt;&gt;"","CHECK","OK")))</f>
        <v/>
      </c>
      <c r="J90" s="14" t="str">
        <f aca="false">TRIM(K90&amp;L90&amp;M90&amp;N90&amp;O90&amp;P90)</f>
        <v/>
      </c>
      <c r="K90" s="15" t="str">
        <f aca="true">IF(NOT(COUNTA($A90:$H90)&gt;0),"",IF(A90="","Missing date. ",IF(NOT(ISNUMBER(A90)),"Date is not a real date. ",IF(YEAR(A90)&lt;&gt;Settings!$B$4,"Date outside tax year. ",IF(A90&gt;TODAY(),"Date is in the future. ","")))))</f>
        <v/>
      </c>
      <c r="L90" s="15" t="str">
        <f aca="false">IF(NOT(COUNTA($A90:$H90)&gt;0),"",IF(E90="","Missing amount. ",IF(NOT(ISNUMBER(E90)),"Amount is not a number. ",IF(E90&lt;=0,"Amount must be above zero. ",""))))</f>
        <v/>
      </c>
      <c r="M90" s="15" t="str">
        <f aca="false">IF(NOT(COUNTA($A90:$H90)&gt;0),"",IF(D90="","Missing category. ",IF(COUNTIF(Settings!$B$11:$B$40,D90)=0,"Category not in your list. ","")))</f>
        <v/>
      </c>
      <c r="N90" s="15" t="str">
        <f aca="false">IF(AND(ISNUMBER(A90),ISNUMBER(E90),B90&lt;&gt;""),IF(COUNTIFS($A$6:$A$505,A90,$B$6:$B$505,B90,$E$6:$E$505,E90)&gt;1,"Possible duplicate. ",""),"")</f>
        <v/>
      </c>
      <c r="O90" s="15" t="str">
        <f aca="false">IF(AND(ISNUMBER(E90),E90&gt;=Settings!$B$6,G90&lt;&gt;"Yes"),"Receipt not marked as saved. ","")</f>
        <v/>
      </c>
      <c r="P90" s="15" t="str">
        <f aca="false">IF(AND(ISNUMBER(E90),E90&gt;=Settings!$B$5),"Large amount: review. ","")</f>
        <v/>
      </c>
    </row>
    <row r="91" customFormat="false" ht="15" hidden="false" customHeight="false" outlineLevel="0" collapsed="false">
      <c r="A91" s="10"/>
      <c r="B91" s="11"/>
      <c r="C91" s="11"/>
      <c r="D91" s="11"/>
      <c r="E91" s="12"/>
      <c r="F91" s="11"/>
      <c r="G91" s="11"/>
      <c r="H91" s="11"/>
      <c r="I91" s="13" t="str">
        <f aca="false">IF(NOT(COUNTA($A91:$H91)&gt;0),"",IF(K91&amp;L91&amp;M91&lt;&gt;"","ERROR",IF(N91&amp;O91&amp;P91&lt;&gt;"","CHECK","OK")))</f>
        <v/>
      </c>
      <c r="J91" s="14" t="str">
        <f aca="false">TRIM(K91&amp;L91&amp;M91&amp;N91&amp;O91&amp;P91)</f>
        <v/>
      </c>
      <c r="K91" s="15" t="str">
        <f aca="true">IF(NOT(COUNTA($A91:$H91)&gt;0),"",IF(A91="","Missing date. ",IF(NOT(ISNUMBER(A91)),"Date is not a real date. ",IF(YEAR(A91)&lt;&gt;Settings!$B$4,"Date outside tax year. ",IF(A91&gt;TODAY(),"Date is in the future. ","")))))</f>
        <v/>
      </c>
      <c r="L91" s="15" t="str">
        <f aca="false">IF(NOT(COUNTA($A91:$H91)&gt;0),"",IF(E91="","Missing amount. ",IF(NOT(ISNUMBER(E91)),"Amount is not a number. ",IF(E91&lt;=0,"Amount must be above zero. ",""))))</f>
        <v/>
      </c>
      <c r="M91" s="15" t="str">
        <f aca="false">IF(NOT(COUNTA($A91:$H91)&gt;0),"",IF(D91="","Missing category. ",IF(COUNTIF(Settings!$B$11:$B$40,D91)=0,"Category not in your list. ","")))</f>
        <v/>
      </c>
      <c r="N91" s="15" t="str">
        <f aca="false">IF(AND(ISNUMBER(A91),ISNUMBER(E91),B91&lt;&gt;""),IF(COUNTIFS($A$6:$A$505,A91,$B$6:$B$505,B91,$E$6:$E$505,E91)&gt;1,"Possible duplicate. ",""),"")</f>
        <v/>
      </c>
      <c r="O91" s="15" t="str">
        <f aca="false">IF(AND(ISNUMBER(E91),E91&gt;=Settings!$B$6,G91&lt;&gt;"Yes"),"Receipt not marked as saved. ","")</f>
        <v/>
      </c>
      <c r="P91" s="15" t="str">
        <f aca="false">IF(AND(ISNUMBER(E91),E91&gt;=Settings!$B$5),"Large amount: review. ","")</f>
        <v/>
      </c>
    </row>
    <row r="92" customFormat="false" ht="15" hidden="false" customHeight="false" outlineLevel="0" collapsed="false">
      <c r="A92" s="10"/>
      <c r="B92" s="11"/>
      <c r="C92" s="11"/>
      <c r="D92" s="11"/>
      <c r="E92" s="12"/>
      <c r="F92" s="11"/>
      <c r="G92" s="11"/>
      <c r="H92" s="11"/>
      <c r="I92" s="13" t="str">
        <f aca="false">IF(NOT(COUNTA($A92:$H92)&gt;0),"",IF(K92&amp;L92&amp;M92&lt;&gt;"","ERROR",IF(N92&amp;O92&amp;P92&lt;&gt;"","CHECK","OK")))</f>
        <v/>
      </c>
      <c r="J92" s="14" t="str">
        <f aca="false">TRIM(K92&amp;L92&amp;M92&amp;N92&amp;O92&amp;P92)</f>
        <v/>
      </c>
      <c r="K92" s="15" t="str">
        <f aca="true">IF(NOT(COUNTA($A92:$H92)&gt;0),"",IF(A92="","Missing date. ",IF(NOT(ISNUMBER(A92)),"Date is not a real date. ",IF(YEAR(A92)&lt;&gt;Settings!$B$4,"Date outside tax year. ",IF(A92&gt;TODAY(),"Date is in the future. ","")))))</f>
        <v/>
      </c>
      <c r="L92" s="15" t="str">
        <f aca="false">IF(NOT(COUNTA($A92:$H92)&gt;0),"",IF(E92="","Missing amount. ",IF(NOT(ISNUMBER(E92)),"Amount is not a number. ",IF(E92&lt;=0,"Amount must be above zero. ",""))))</f>
        <v/>
      </c>
      <c r="M92" s="15" t="str">
        <f aca="false">IF(NOT(COUNTA($A92:$H92)&gt;0),"",IF(D92="","Missing category. ",IF(COUNTIF(Settings!$B$11:$B$40,D92)=0,"Category not in your list. ","")))</f>
        <v/>
      </c>
      <c r="N92" s="15" t="str">
        <f aca="false">IF(AND(ISNUMBER(A92),ISNUMBER(E92),B92&lt;&gt;""),IF(COUNTIFS($A$6:$A$505,A92,$B$6:$B$505,B92,$E$6:$E$505,E92)&gt;1,"Possible duplicate. ",""),"")</f>
        <v/>
      </c>
      <c r="O92" s="15" t="str">
        <f aca="false">IF(AND(ISNUMBER(E92),E92&gt;=Settings!$B$6,G92&lt;&gt;"Yes"),"Receipt not marked as saved. ","")</f>
        <v/>
      </c>
      <c r="P92" s="15" t="str">
        <f aca="false">IF(AND(ISNUMBER(E92),E92&gt;=Settings!$B$5),"Large amount: review. ","")</f>
        <v/>
      </c>
    </row>
    <row r="93" customFormat="false" ht="15" hidden="false" customHeight="false" outlineLevel="0" collapsed="false">
      <c r="A93" s="10"/>
      <c r="B93" s="11"/>
      <c r="C93" s="11"/>
      <c r="D93" s="11"/>
      <c r="E93" s="12"/>
      <c r="F93" s="11"/>
      <c r="G93" s="11"/>
      <c r="H93" s="11"/>
      <c r="I93" s="13" t="str">
        <f aca="false">IF(NOT(COUNTA($A93:$H93)&gt;0),"",IF(K93&amp;L93&amp;M93&lt;&gt;"","ERROR",IF(N93&amp;O93&amp;P93&lt;&gt;"","CHECK","OK")))</f>
        <v/>
      </c>
      <c r="J93" s="14" t="str">
        <f aca="false">TRIM(K93&amp;L93&amp;M93&amp;N93&amp;O93&amp;P93)</f>
        <v/>
      </c>
      <c r="K93" s="15" t="str">
        <f aca="true">IF(NOT(COUNTA($A93:$H93)&gt;0),"",IF(A93="","Missing date. ",IF(NOT(ISNUMBER(A93)),"Date is not a real date. ",IF(YEAR(A93)&lt;&gt;Settings!$B$4,"Date outside tax year. ",IF(A93&gt;TODAY(),"Date is in the future. ","")))))</f>
        <v/>
      </c>
      <c r="L93" s="15" t="str">
        <f aca="false">IF(NOT(COUNTA($A93:$H93)&gt;0),"",IF(E93="","Missing amount. ",IF(NOT(ISNUMBER(E93)),"Amount is not a number. ",IF(E93&lt;=0,"Amount must be above zero. ",""))))</f>
        <v/>
      </c>
      <c r="M93" s="15" t="str">
        <f aca="false">IF(NOT(COUNTA($A93:$H93)&gt;0),"",IF(D93="","Missing category. ",IF(COUNTIF(Settings!$B$11:$B$40,D93)=0,"Category not in your list. ","")))</f>
        <v/>
      </c>
      <c r="N93" s="15" t="str">
        <f aca="false">IF(AND(ISNUMBER(A93),ISNUMBER(E93),B93&lt;&gt;""),IF(COUNTIFS($A$6:$A$505,A93,$B$6:$B$505,B93,$E$6:$E$505,E93)&gt;1,"Possible duplicate. ",""),"")</f>
        <v/>
      </c>
      <c r="O93" s="15" t="str">
        <f aca="false">IF(AND(ISNUMBER(E93),E93&gt;=Settings!$B$6,G93&lt;&gt;"Yes"),"Receipt not marked as saved. ","")</f>
        <v/>
      </c>
      <c r="P93" s="15" t="str">
        <f aca="false">IF(AND(ISNUMBER(E93),E93&gt;=Settings!$B$5),"Large amount: review. ","")</f>
        <v/>
      </c>
    </row>
    <row r="94" customFormat="false" ht="15" hidden="false" customHeight="false" outlineLevel="0" collapsed="false">
      <c r="A94" s="10"/>
      <c r="B94" s="11"/>
      <c r="C94" s="11"/>
      <c r="D94" s="11"/>
      <c r="E94" s="12"/>
      <c r="F94" s="11"/>
      <c r="G94" s="11"/>
      <c r="H94" s="11"/>
      <c r="I94" s="13" t="str">
        <f aca="false">IF(NOT(COUNTA($A94:$H94)&gt;0),"",IF(K94&amp;L94&amp;M94&lt;&gt;"","ERROR",IF(N94&amp;O94&amp;P94&lt;&gt;"","CHECK","OK")))</f>
        <v/>
      </c>
      <c r="J94" s="14" t="str">
        <f aca="false">TRIM(K94&amp;L94&amp;M94&amp;N94&amp;O94&amp;P94)</f>
        <v/>
      </c>
      <c r="K94" s="15" t="str">
        <f aca="true">IF(NOT(COUNTA($A94:$H94)&gt;0),"",IF(A94="","Missing date. ",IF(NOT(ISNUMBER(A94)),"Date is not a real date. ",IF(YEAR(A94)&lt;&gt;Settings!$B$4,"Date outside tax year. ",IF(A94&gt;TODAY(),"Date is in the future. ","")))))</f>
        <v/>
      </c>
      <c r="L94" s="15" t="str">
        <f aca="false">IF(NOT(COUNTA($A94:$H94)&gt;0),"",IF(E94="","Missing amount. ",IF(NOT(ISNUMBER(E94)),"Amount is not a number. ",IF(E94&lt;=0,"Amount must be above zero. ",""))))</f>
        <v/>
      </c>
      <c r="M94" s="15" t="str">
        <f aca="false">IF(NOT(COUNTA($A94:$H94)&gt;0),"",IF(D94="","Missing category. ",IF(COUNTIF(Settings!$B$11:$B$40,D94)=0,"Category not in your list. ","")))</f>
        <v/>
      </c>
      <c r="N94" s="15" t="str">
        <f aca="false">IF(AND(ISNUMBER(A94),ISNUMBER(E94),B94&lt;&gt;""),IF(COUNTIFS($A$6:$A$505,A94,$B$6:$B$505,B94,$E$6:$E$505,E94)&gt;1,"Possible duplicate. ",""),"")</f>
        <v/>
      </c>
      <c r="O94" s="15" t="str">
        <f aca="false">IF(AND(ISNUMBER(E94),E94&gt;=Settings!$B$6,G94&lt;&gt;"Yes"),"Receipt not marked as saved. ","")</f>
        <v/>
      </c>
      <c r="P94" s="15" t="str">
        <f aca="false">IF(AND(ISNUMBER(E94),E94&gt;=Settings!$B$5),"Large amount: review. ","")</f>
        <v/>
      </c>
    </row>
    <row r="95" customFormat="false" ht="15" hidden="false" customHeight="false" outlineLevel="0" collapsed="false">
      <c r="A95" s="10"/>
      <c r="B95" s="11"/>
      <c r="C95" s="11"/>
      <c r="D95" s="11"/>
      <c r="E95" s="12"/>
      <c r="F95" s="11"/>
      <c r="G95" s="11"/>
      <c r="H95" s="11"/>
      <c r="I95" s="13" t="str">
        <f aca="false">IF(NOT(COUNTA($A95:$H95)&gt;0),"",IF(K95&amp;L95&amp;M95&lt;&gt;"","ERROR",IF(N95&amp;O95&amp;P95&lt;&gt;"","CHECK","OK")))</f>
        <v/>
      </c>
      <c r="J95" s="14" t="str">
        <f aca="false">TRIM(K95&amp;L95&amp;M95&amp;N95&amp;O95&amp;P95)</f>
        <v/>
      </c>
      <c r="K95" s="15" t="str">
        <f aca="true">IF(NOT(COUNTA($A95:$H95)&gt;0),"",IF(A95="","Missing date. ",IF(NOT(ISNUMBER(A95)),"Date is not a real date. ",IF(YEAR(A95)&lt;&gt;Settings!$B$4,"Date outside tax year. ",IF(A95&gt;TODAY(),"Date is in the future. ","")))))</f>
        <v/>
      </c>
      <c r="L95" s="15" t="str">
        <f aca="false">IF(NOT(COUNTA($A95:$H95)&gt;0),"",IF(E95="","Missing amount. ",IF(NOT(ISNUMBER(E95)),"Amount is not a number. ",IF(E95&lt;=0,"Amount must be above zero. ",""))))</f>
        <v/>
      </c>
      <c r="M95" s="15" t="str">
        <f aca="false">IF(NOT(COUNTA($A95:$H95)&gt;0),"",IF(D95="","Missing category. ",IF(COUNTIF(Settings!$B$11:$B$40,D95)=0,"Category not in your list. ","")))</f>
        <v/>
      </c>
      <c r="N95" s="15" t="str">
        <f aca="false">IF(AND(ISNUMBER(A95),ISNUMBER(E95),B95&lt;&gt;""),IF(COUNTIFS($A$6:$A$505,A95,$B$6:$B$505,B95,$E$6:$E$505,E95)&gt;1,"Possible duplicate. ",""),"")</f>
        <v/>
      </c>
      <c r="O95" s="15" t="str">
        <f aca="false">IF(AND(ISNUMBER(E95),E95&gt;=Settings!$B$6,G95&lt;&gt;"Yes"),"Receipt not marked as saved. ","")</f>
        <v/>
      </c>
      <c r="P95" s="15" t="str">
        <f aca="false">IF(AND(ISNUMBER(E95),E95&gt;=Settings!$B$5),"Large amount: review. ","")</f>
        <v/>
      </c>
    </row>
    <row r="96" customFormat="false" ht="15" hidden="false" customHeight="false" outlineLevel="0" collapsed="false">
      <c r="A96" s="10"/>
      <c r="B96" s="11"/>
      <c r="C96" s="11"/>
      <c r="D96" s="11"/>
      <c r="E96" s="12"/>
      <c r="F96" s="11"/>
      <c r="G96" s="11"/>
      <c r="H96" s="11"/>
      <c r="I96" s="13" t="str">
        <f aca="false">IF(NOT(COUNTA($A96:$H96)&gt;0),"",IF(K96&amp;L96&amp;M96&lt;&gt;"","ERROR",IF(N96&amp;O96&amp;P96&lt;&gt;"","CHECK","OK")))</f>
        <v/>
      </c>
      <c r="J96" s="14" t="str">
        <f aca="false">TRIM(K96&amp;L96&amp;M96&amp;N96&amp;O96&amp;P96)</f>
        <v/>
      </c>
      <c r="K96" s="15" t="str">
        <f aca="true">IF(NOT(COUNTA($A96:$H96)&gt;0),"",IF(A96="","Missing date. ",IF(NOT(ISNUMBER(A96)),"Date is not a real date. ",IF(YEAR(A96)&lt;&gt;Settings!$B$4,"Date outside tax year. ",IF(A96&gt;TODAY(),"Date is in the future. ","")))))</f>
        <v/>
      </c>
      <c r="L96" s="15" t="str">
        <f aca="false">IF(NOT(COUNTA($A96:$H96)&gt;0),"",IF(E96="","Missing amount. ",IF(NOT(ISNUMBER(E96)),"Amount is not a number. ",IF(E96&lt;=0,"Amount must be above zero. ",""))))</f>
        <v/>
      </c>
      <c r="M96" s="15" t="str">
        <f aca="false">IF(NOT(COUNTA($A96:$H96)&gt;0),"",IF(D96="","Missing category. ",IF(COUNTIF(Settings!$B$11:$B$40,D96)=0,"Category not in your list. ","")))</f>
        <v/>
      </c>
      <c r="N96" s="15" t="str">
        <f aca="false">IF(AND(ISNUMBER(A96),ISNUMBER(E96),B96&lt;&gt;""),IF(COUNTIFS($A$6:$A$505,A96,$B$6:$B$505,B96,$E$6:$E$505,E96)&gt;1,"Possible duplicate. ",""),"")</f>
        <v/>
      </c>
      <c r="O96" s="15" t="str">
        <f aca="false">IF(AND(ISNUMBER(E96),E96&gt;=Settings!$B$6,G96&lt;&gt;"Yes"),"Receipt not marked as saved. ","")</f>
        <v/>
      </c>
      <c r="P96" s="15" t="str">
        <f aca="false">IF(AND(ISNUMBER(E96),E96&gt;=Settings!$B$5),"Large amount: review. ","")</f>
        <v/>
      </c>
    </row>
    <row r="97" customFormat="false" ht="15" hidden="false" customHeight="false" outlineLevel="0" collapsed="false">
      <c r="A97" s="10"/>
      <c r="B97" s="11"/>
      <c r="C97" s="11"/>
      <c r="D97" s="11"/>
      <c r="E97" s="12"/>
      <c r="F97" s="11"/>
      <c r="G97" s="11"/>
      <c r="H97" s="11"/>
      <c r="I97" s="13" t="str">
        <f aca="false">IF(NOT(COUNTA($A97:$H97)&gt;0),"",IF(K97&amp;L97&amp;M97&lt;&gt;"","ERROR",IF(N97&amp;O97&amp;P97&lt;&gt;"","CHECK","OK")))</f>
        <v/>
      </c>
      <c r="J97" s="14" t="str">
        <f aca="false">TRIM(K97&amp;L97&amp;M97&amp;N97&amp;O97&amp;P97)</f>
        <v/>
      </c>
      <c r="K97" s="15" t="str">
        <f aca="true">IF(NOT(COUNTA($A97:$H97)&gt;0),"",IF(A97="","Missing date. ",IF(NOT(ISNUMBER(A97)),"Date is not a real date. ",IF(YEAR(A97)&lt;&gt;Settings!$B$4,"Date outside tax year. ",IF(A97&gt;TODAY(),"Date is in the future. ","")))))</f>
        <v/>
      </c>
      <c r="L97" s="15" t="str">
        <f aca="false">IF(NOT(COUNTA($A97:$H97)&gt;0),"",IF(E97="","Missing amount. ",IF(NOT(ISNUMBER(E97)),"Amount is not a number. ",IF(E97&lt;=0,"Amount must be above zero. ",""))))</f>
        <v/>
      </c>
      <c r="M97" s="15" t="str">
        <f aca="false">IF(NOT(COUNTA($A97:$H97)&gt;0),"",IF(D97="","Missing category. ",IF(COUNTIF(Settings!$B$11:$B$40,D97)=0,"Category not in your list. ","")))</f>
        <v/>
      </c>
      <c r="N97" s="15" t="str">
        <f aca="false">IF(AND(ISNUMBER(A97),ISNUMBER(E97),B97&lt;&gt;""),IF(COUNTIFS($A$6:$A$505,A97,$B$6:$B$505,B97,$E$6:$E$505,E97)&gt;1,"Possible duplicate. ",""),"")</f>
        <v/>
      </c>
      <c r="O97" s="15" t="str">
        <f aca="false">IF(AND(ISNUMBER(E97),E97&gt;=Settings!$B$6,G97&lt;&gt;"Yes"),"Receipt not marked as saved. ","")</f>
        <v/>
      </c>
      <c r="P97" s="15" t="str">
        <f aca="false">IF(AND(ISNUMBER(E97),E97&gt;=Settings!$B$5),"Large amount: review. ","")</f>
        <v/>
      </c>
    </row>
    <row r="98" customFormat="false" ht="15" hidden="false" customHeight="false" outlineLevel="0" collapsed="false">
      <c r="A98" s="10"/>
      <c r="B98" s="11"/>
      <c r="C98" s="11"/>
      <c r="D98" s="11"/>
      <c r="E98" s="12"/>
      <c r="F98" s="11"/>
      <c r="G98" s="11"/>
      <c r="H98" s="11"/>
      <c r="I98" s="13" t="str">
        <f aca="false">IF(NOT(COUNTA($A98:$H98)&gt;0),"",IF(K98&amp;L98&amp;M98&lt;&gt;"","ERROR",IF(N98&amp;O98&amp;P98&lt;&gt;"","CHECK","OK")))</f>
        <v/>
      </c>
      <c r="J98" s="14" t="str">
        <f aca="false">TRIM(K98&amp;L98&amp;M98&amp;N98&amp;O98&amp;P98)</f>
        <v/>
      </c>
      <c r="K98" s="15" t="str">
        <f aca="true">IF(NOT(COUNTA($A98:$H98)&gt;0),"",IF(A98="","Missing date. ",IF(NOT(ISNUMBER(A98)),"Date is not a real date. ",IF(YEAR(A98)&lt;&gt;Settings!$B$4,"Date outside tax year. ",IF(A98&gt;TODAY(),"Date is in the future. ","")))))</f>
        <v/>
      </c>
      <c r="L98" s="15" t="str">
        <f aca="false">IF(NOT(COUNTA($A98:$H98)&gt;0),"",IF(E98="","Missing amount. ",IF(NOT(ISNUMBER(E98)),"Amount is not a number. ",IF(E98&lt;=0,"Amount must be above zero. ",""))))</f>
        <v/>
      </c>
      <c r="M98" s="15" t="str">
        <f aca="false">IF(NOT(COUNTA($A98:$H98)&gt;0),"",IF(D98="","Missing category. ",IF(COUNTIF(Settings!$B$11:$B$40,D98)=0,"Category not in your list. ","")))</f>
        <v/>
      </c>
      <c r="N98" s="15" t="str">
        <f aca="false">IF(AND(ISNUMBER(A98),ISNUMBER(E98),B98&lt;&gt;""),IF(COUNTIFS($A$6:$A$505,A98,$B$6:$B$505,B98,$E$6:$E$505,E98)&gt;1,"Possible duplicate. ",""),"")</f>
        <v/>
      </c>
      <c r="O98" s="15" t="str">
        <f aca="false">IF(AND(ISNUMBER(E98),E98&gt;=Settings!$B$6,G98&lt;&gt;"Yes"),"Receipt not marked as saved. ","")</f>
        <v/>
      </c>
      <c r="P98" s="15" t="str">
        <f aca="false">IF(AND(ISNUMBER(E98),E98&gt;=Settings!$B$5),"Large amount: review. ","")</f>
        <v/>
      </c>
    </row>
    <row r="99" customFormat="false" ht="15" hidden="false" customHeight="false" outlineLevel="0" collapsed="false">
      <c r="A99" s="10"/>
      <c r="B99" s="11"/>
      <c r="C99" s="11"/>
      <c r="D99" s="11"/>
      <c r="E99" s="12"/>
      <c r="F99" s="11"/>
      <c r="G99" s="11"/>
      <c r="H99" s="11"/>
      <c r="I99" s="13" t="str">
        <f aca="false">IF(NOT(COUNTA($A99:$H99)&gt;0),"",IF(K99&amp;L99&amp;M99&lt;&gt;"","ERROR",IF(N99&amp;O99&amp;P99&lt;&gt;"","CHECK","OK")))</f>
        <v/>
      </c>
      <c r="J99" s="14" t="str">
        <f aca="false">TRIM(K99&amp;L99&amp;M99&amp;N99&amp;O99&amp;P99)</f>
        <v/>
      </c>
      <c r="K99" s="15" t="str">
        <f aca="true">IF(NOT(COUNTA($A99:$H99)&gt;0),"",IF(A99="","Missing date. ",IF(NOT(ISNUMBER(A99)),"Date is not a real date. ",IF(YEAR(A99)&lt;&gt;Settings!$B$4,"Date outside tax year. ",IF(A99&gt;TODAY(),"Date is in the future. ","")))))</f>
        <v/>
      </c>
      <c r="L99" s="15" t="str">
        <f aca="false">IF(NOT(COUNTA($A99:$H99)&gt;0),"",IF(E99="","Missing amount. ",IF(NOT(ISNUMBER(E99)),"Amount is not a number. ",IF(E99&lt;=0,"Amount must be above zero. ",""))))</f>
        <v/>
      </c>
      <c r="M99" s="15" t="str">
        <f aca="false">IF(NOT(COUNTA($A99:$H99)&gt;0),"",IF(D99="","Missing category. ",IF(COUNTIF(Settings!$B$11:$B$40,D99)=0,"Category not in your list. ","")))</f>
        <v/>
      </c>
      <c r="N99" s="15" t="str">
        <f aca="false">IF(AND(ISNUMBER(A99),ISNUMBER(E99),B99&lt;&gt;""),IF(COUNTIFS($A$6:$A$505,A99,$B$6:$B$505,B99,$E$6:$E$505,E99)&gt;1,"Possible duplicate. ",""),"")</f>
        <v/>
      </c>
      <c r="O99" s="15" t="str">
        <f aca="false">IF(AND(ISNUMBER(E99),E99&gt;=Settings!$B$6,G99&lt;&gt;"Yes"),"Receipt not marked as saved. ","")</f>
        <v/>
      </c>
      <c r="P99" s="15" t="str">
        <f aca="false">IF(AND(ISNUMBER(E99),E99&gt;=Settings!$B$5),"Large amount: review. ","")</f>
        <v/>
      </c>
    </row>
    <row r="100" customFormat="false" ht="15" hidden="false" customHeight="false" outlineLevel="0" collapsed="false">
      <c r="A100" s="10"/>
      <c r="B100" s="11"/>
      <c r="C100" s="11"/>
      <c r="D100" s="11"/>
      <c r="E100" s="12"/>
      <c r="F100" s="11"/>
      <c r="G100" s="11"/>
      <c r="H100" s="11"/>
      <c r="I100" s="13" t="str">
        <f aca="false">IF(NOT(COUNTA($A100:$H100)&gt;0),"",IF(K100&amp;L100&amp;M100&lt;&gt;"","ERROR",IF(N100&amp;O100&amp;P100&lt;&gt;"","CHECK","OK")))</f>
        <v/>
      </c>
      <c r="J100" s="14" t="str">
        <f aca="false">TRIM(K100&amp;L100&amp;M100&amp;N100&amp;O100&amp;P100)</f>
        <v/>
      </c>
      <c r="K100" s="15" t="str">
        <f aca="true">IF(NOT(COUNTA($A100:$H100)&gt;0),"",IF(A100="","Missing date. ",IF(NOT(ISNUMBER(A100)),"Date is not a real date. ",IF(YEAR(A100)&lt;&gt;Settings!$B$4,"Date outside tax year. ",IF(A100&gt;TODAY(),"Date is in the future. ","")))))</f>
        <v/>
      </c>
      <c r="L100" s="15" t="str">
        <f aca="false">IF(NOT(COUNTA($A100:$H100)&gt;0),"",IF(E100="","Missing amount. ",IF(NOT(ISNUMBER(E100)),"Amount is not a number. ",IF(E100&lt;=0,"Amount must be above zero. ",""))))</f>
        <v/>
      </c>
      <c r="M100" s="15" t="str">
        <f aca="false">IF(NOT(COUNTA($A100:$H100)&gt;0),"",IF(D100="","Missing category. ",IF(COUNTIF(Settings!$B$11:$B$40,D100)=0,"Category not in your list. ","")))</f>
        <v/>
      </c>
      <c r="N100" s="15" t="str">
        <f aca="false">IF(AND(ISNUMBER(A100),ISNUMBER(E100),B100&lt;&gt;""),IF(COUNTIFS($A$6:$A$505,A100,$B$6:$B$505,B100,$E$6:$E$505,E100)&gt;1,"Possible duplicate. ",""),"")</f>
        <v/>
      </c>
      <c r="O100" s="15" t="str">
        <f aca="false">IF(AND(ISNUMBER(E100),E100&gt;=Settings!$B$6,G100&lt;&gt;"Yes"),"Receipt not marked as saved. ","")</f>
        <v/>
      </c>
      <c r="P100" s="15" t="str">
        <f aca="false">IF(AND(ISNUMBER(E100),E100&gt;=Settings!$B$5),"Large amount: review. ","")</f>
        <v/>
      </c>
    </row>
    <row r="101" customFormat="false" ht="15" hidden="false" customHeight="false" outlineLevel="0" collapsed="false">
      <c r="A101" s="10"/>
      <c r="B101" s="11"/>
      <c r="C101" s="11"/>
      <c r="D101" s="11"/>
      <c r="E101" s="12"/>
      <c r="F101" s="11"/>
      <c r="G101" s="11"/>
      <c r="H101" s="11"/>
      <c r="I101" s="13" t="str">
        <f aca="false">IF(NOT(COUNTA($A101:$H101)&gt;0),"",IF(K101&amp;L101&amp;M101&lt;&gt;"","ERROR",IF(N101&amp;O101&amp;P101&lt;&gt;"","CHECK","OK")))</f>
        <v/>
      </c>
      <c r="J101" s="14" t="str">
        <f aca="false">TRIM(K101&amp;L101&amp;M101&amp;N101&amp;O101&amp;P101)</f>
        <v/>
      </c>
      <c r="K101" s="15" t="str">
        <f aca="true">IF(NOT(COUNTA($A101:$H101)&gt;0),"",IF(A101="","Missing date. ",IF(NOT(ISNUMBER(A101)),"Date is not a real date. ",IF(YEAR(A101)&lt;&gt;Settings!$B$4,"Date outside tax year. ",IF(A101&gt;TODAY(),"Date is in the future. ","")))))</f>
        <v/>
      </c>
      <c r="L101" s="15" t="str">
        <f aca="false">IF(NOT(COUNTA($A101:$H101)&gt;0),"",IF(E101="","Missing amount. ",IF(NOT(ISNUMBER(E101)),"Amount is not a number. ",IF(E101&lt;=0,"Amount must be above zero. ",""))))</f>
        <v/>
      </c>
      <c r="M101" s="15" t="str">
        <f aca="false">IF(NOT(COUNTA($A101:$H101)&gt;0),"",IF(D101="","Missing category. ",IF(COUNTIF(Settings!$B$11:$B$40,D101)=0,"Category not in your list. ","")))</f>
        <v/>
      </c>
      <c r="N101" s="15" t="str">
        <f aca="false">IF(AND(ISNUMBER(A101),ISNUMBER(E101),B101&lt;&gt;""),IF(COUNTIFS($A$6:$A$505,A101,$B$6:$B$505,B101,$E$6:$E$505,E101)&gt;1,"Possible duplicate. ",""),"")</f>
        <v/>
      </c>
      <c r="O101" s="15" t="str">
        <f aca="false">IF(AND(ISNUMBER(E101),E101&gt;=Settings!$B$6,G101&lt;&gt;"Yes"),"Receipt not marked as saved. ","")</f>
        <v/>
      </c>
      <c r="P101" s="15" t="str">
        <f aca="false">IF(AND(ISNUMBER(E101),E101&gt;=Settings!$B$5),"Large amount: review. ","")</f>
        <v/>
      </c>
    </row>
    <row r="102" customFormat="false" ht="15" hidden="false" customHeight="false" outlineLevel="0" collapsed="false">
      <c r="A102" s="10"/>
      <c r="B102" s="11"/>
      <c r="C102" s="11"/>
      <c r="D102" s="11"/>
      <c r="E102" s="12"/>
      <c r="F102" s="11"/>
      <c r="G102" s="11"/>
      <c r="H102" s="11"/>
      <c r="I102" s="13" t="str">
        <f aca="false">IF(NOT(COUNTA($A102:$H102)&gt;0),"",IF(K102&amp;L102&amp;M102&lt;&gt;"","ERROR",IF(N102&amp;O102&amp;P102&lt;&gt;"","CHECK","OK")))</f>
        <v/>
      </c>
      <c r="J102" s="14" t="str">
        <f aca="false">TRIM(K102&amp;L102&amp;M102&amp;N102&amp;O102&amp;P102)</f>
        <v/>
      </c>
      <c r="K102" s="15" t="str">
        <f aca="true">IF(NOT(COUNTA($A102:$H102)&gt;0),"",IF(A102="","Missing date. ",IF(NOT(ISNUMBER(A102)),"Date is not a real date. ",IF(YEAR(A102)&lt;&gt;Settings!$B$4,"Date outside tax year. ",IF(A102&gt;TODAY(),"Date is in the future. ","")))))</f>
        <v/>
      </c>
      <c r="L102" s="15" t="str">
        <f aca="false">IF(NOT(COUNTA($A102:$H102)&gt;0),"",IF(E102="","Missing amount. ",IF(NOT(ISNUMBER(E102)),"Amount is not a number. ",IF(E102&lt;=0,"Amount must be above zero. ",""))))</f>
        <v/>
      </c>
      <c r="M102" s="15" t="str">
        <f aca="false">IF(NOT(COUNTA($A102:$H102)&gt;0),"",IF(D102="","Missing category. ",IF(COUNTIF(Settings!$B$11:$B$40,D102)=0,"Category not in your list. ","")))</f>
        <v/>
      </c>
      <c r="N102" s="15" t="str">
        <f aca="false">IF(AND(ISNUMBER(A102),ISNUMBER(E102),B102&lt;&gt;""),IF(COUNTIFS($A$6:$A$505,A102,$B$6:$B$505,B102,$E$6:$E$505,E102)&gt;1,"Possible duplicate. ",""),"")</f>
        <v/>
      </c>
      <c r="O102" s="15" t="str">
        <f aca="false">IF(AND(ISNUMBER(E102),E102&gt;=Settings!$B$6,G102&lt;&gt;"Yes"),"Receipt not marked as saved. ","")</f>
        <v/>
      </c>
      <c r="P102" s="15" t="str">
        <f aca="false">IF(AND(ISNUMBER(E102),E102&gt;=Settings!$B$5),"Large amount: review. ","")</f>
        <v/>
      </c>
    </row>
    <row r="103" customFormat="false" ht="15" hidden="false" customHeight="false" outlineLevel="0" collapsed="false">
      <c r="A103" s="10"/>
      <c r="B103" s="11"/>
      <c r="C103" s="11"/>
      <c r="D103" s="11"/>
      <c r="E103" s="12"/>
      <c r="F103" s="11"/>
      <c r="G103" s="11"/>
      <c r="H103" s="11"/>
      <c r="I103" s="13" t="str">
        <f aca="false">IF(NOT(COUNTA($A103:$H103)&gt;0),"",IF(K103&amp;L103&amp;M103&lt;&gt;"","ERROR",IF(N103&amp;O103&amp;P103&lt;&gt;"","CHECK","OK")))</f>
        <v/>
      </c>
      <c r="J103" s="14" t="str">
        <f aca="false">TRIM(K103&amp;L103&amp;M103&amp;N103&amp;O103&amp;P103)</f>
        <v/>
      </c>
      <c r="K103" s="15" t="str">
        <f aca="true">IF(NOT(COUNTA($A103:$H103)&gt;0),"",IF(A103="","Missing date. ",IF(NOT(ISNUMBER(A103)),"Date is not a real date. ",IF(YEAR(A103)&lt;&gt;Settings!$B$4,"Date outside tax year. ",IF(A103&gt;TODAY(),"Date is in the future. ","")))))</f>
        <v/>
      </c>
      <c r="L103" s="15" t="str">
        <f aca="false">IF(NOT(COUNTA($A103:$H103)&gt;0),"",IF(E103="","Missing amount. ",IF(NOT(ISNUMBER(E103)),"Amount is not a number. ",IF(E103&lt;=0,"Amount must be above zero. ",""))))</f>
        <v/>
      </c>
      <c r="M103" s="15" t="str">
        <f aca="false">IF(NOT(COUNTA($A103:$H103)&gt;0),"",IF(D103="","Missing category. ",IF(COUNTIF(Settings!$B$11:$B$40,D103)=0,"Category not in your list. ","")))</f>
        <v/>
      </c>
      <c r="N103" s="15" t="str">
        <f aca="false">IF(AND(ISNUMBER(A103),ISNUMBER(E103),B103&lt;&gt;""),IF(COUNTIFS($A$6:$A$505,A103,$B$6:$B$505,B103,$E$6:$E$505,E103)&gt;1,"Possible duplicate. ",""),"")</f>
        <v/>
      </c>
      <c r="O103" s="15" t="str">
        <f aca="false">IF(AND(ISNUMBER(E103),E103&gt;=Settings!$B$6,G103&lt;&gt;"Yes"),"Receipt not marked as saved. ","")</f>
        <v/>
      </c>
      <c r="P103" s="15" t="str">
        <f aca="false">IF(AND(ISNUMBER(E103),E103&gt;=Settings!$B$5),"Large amount: review. ","")</f>
        <v/>
      </c>
    </row>
    <row r="104" customFormat="false" ht="15" hidden="false" customHeight="false" outlineLevel="0" collapsed="false">
      <c r="A104" s="10"/>
      <c r="B104" s="11"/>
      <c r="C104" s="11"/>
      <c r="D104" s="11"/>
      <c r="E104" s="12"/>
      <c r="F104" s="11"/>
      <c r="G104" s="11"/>
      <c r="H104" s="11"/>
      <c r="I104" s="13" t="str">
        <f aca="false">IF(NOT(COUNTA($A104:$H104)&gt;0),"",IF(K104&amp;L104&amp;M104&lt;&gt;"","ERROR",IF(N104&amp;O104&amp;P104&lt;&gt;"","CHECK","OK")))</f>
        <v/>
      </c>
      <c r="J104" s="14" t="str">
        <f aca="false">TRIM(K104&amp;L104&amp;M104&amp;N104&amp;O104&amp;P104)</f>
        <v/>
      </c>
      <c r="K104" s="15" t="str">
        <f aca="true">IF(NOT(COUNTA($A104:$H104)&gt;0),"",IF(A104="","Missing date. ",IF(NOT(ISNUMBER(A104)),"Date is not a real date. ",IF(YEAR(A104)&lt;&gt;Settings!$B$4,"Date outside tax year. ",IF(A104&gt;TODAY(),"Date is in the future. ","")))))</f>
        <v/>
      </c>
      <c r="L104" s="15" t="str">
        <f aca="false">IF(NOT(COUNTA($A104:$H104)&gt;0),"",IF(E104="","Missing amount. ",IF(NOT(ISNUMBER(E104)),"Amount is not a number. ",IF(E104&lt;=0,"Amount must be above zero. ",""))))</f>
        <v/>
      </c>
      <c r="M104" s="15" t="str">
        <f aca="false">IF(NOT(COUNTA($A104:$H104)&gt;0),"",IF(D104="","Missing category. ",IF(COUNTIF(Settings!$B$11:$B$40,D104)=0,"Category not in your list. ","")))</f>
        <v/>
      </c>
      <c r="N104" s="15" t="str">
        <f aca="false">IF(AND(ISNUMBER(A104),ISNUMBER(E104),B104&lt;&gt;""),IF(COUNTIFS($A$6:$A$505,A104,$B$6:$B$505,B104,$E$6:$E$505,E104)&gt;1,"Possible duplicate. ",""),"")</f>
        <v/>
      </c>
      <c r="O104" s="15" t="str">
        <f aca="false">IF(AND(ISNUMBER(E104),E104&gt;=Settings!$B$6,G104&lt;&gt;"Yes"),"Receipt not marked as saved. ","")</f>
        <v/>
      </c>
      <c r="P104" s="15" t="str">
        <f aca="false">IF(AND(ISNUMBER(E104),E104&gt;=Settings!$B$5),"Large amount: review. ","")</f>
        <v/>
      </c>
    </row>
    <row r="105" customFormat="false" ht="15" hidden="false" customHeight="false" outlineLevel="0" collapsed="false">
      <c r="A105" s="10"/>
      <c r="B105" s="11"/>
      <c r="C105" s="11"/>
      <c r="D105" s="11"/>
      <c r="E105" s="12"/>
      <c r="F105" s="11"/>
      <c r="G105" s="11"/>
      <c r="H105" s="11"/>
      <c r="I105" s="13" t="str">
        <f aca="false">IF(NOT(COUNTA($A105:$H105)&gt;0),"",IF(K105&amp;L105&amp;M105&lt;&gt;"","ERROR",IF(N105&amp;O105&amp;P105&lt;&gt;"","CHECK","OK")))</f>
        <v/>
      </c>
      <c r="J105" s="14" t="str">
        <f aca="false">TRIM(K105&amp;L105&amp;M105&amp;N105&amp;O105&amp;P105)</f>
        <v/>
      </c>
      <c r="K105" s="15" t="str">
        <f aca="true">IF(NOT(COUNTA($A105:$H105)&gt;0),"",IF(A105="","Missing date. ",IF(NOT(ISNUMBER(A105)),"Date is not a real date. ",IF(YEAR(A105)&lt;&gt;Settings!$B$4,"Date outside tax year. ",IF(A105&gt;TODAY(),"Date is in the future. ","")))))</f>
        <v/>
      </c>
      <c r="L105" s="15" t="str">
        <f aca="false">IF(NOT(COUNTA($A105:$H105)&gt;0),"",IF(E105="","Missing amount. ",IF(NOT(ISNUMBER(E105)),"Amount is not a number. ",IF(E105&lt;=0,"Amount must be above zero. ",""))))</f>
        <v/>
      </c>
      <c r="M105" s="15" t="str">
        <f aca="false">IF(NOT(COUNTA($A105:$H105)&gt;0),"",IF(D105="","Missing category. ",IF(COUNTIF(Settings!$B$11:$B$40,D105)=0,"Category not in your list. ","")))</f>
        <v/>
      </c>
      <c r="N105" s="15" t="str">
        <f aca="false">IF(AND(ISNUMBER(A105),ISNUMBER(E105),B105&lt;&gt;""),IF(COUNTIFS($A$6:$A$505,A105,$B$6:$B$505,B105,$E$6:$E$505,E105)&gt;1,"Possible duplicate. ",""),"")</f>
        <v/>
      </c>
      <c r="O105" s="15" t="str">
        <f aca="false">IF(AND(ISNUMBER(E105),E105&gt;=Settings!$B$6,G105&lt;&gt;"Yes"),"Receipt not marked as saved. ","")</f>
        <v/>
      </c>
      <c r="P105" s="15" t="str">
        <f aca="false">IF(AND(ISNUMBER(E105),E105&gt;=Settings!$B$5),"Large amount: review. ","")</f>
        <v/>
      </c>
    </row>
    <row r="106" customFormat="false" ht="15" hidden="false" customHeight="false" outlineLevel="0" collapsed="false">
      <c r="A106" s="10"/>
      <c r="B106" s="11"/>
      <c r="C106" s="11"/>
      <c r="D106" s="11"/>
      <c r="E106" s="12"/>
      <c r="F106" s="11"/>
      <c r="G106" s="11"/>
      <c r="H106" s="11"/>
      <c r="I106" s="13" t="str">
        <f aca="false">IF(NOT(COUNTA($A106:$H106)&gt;0),"",IF(K106&amp;L106&amp;M106&lt;&gt;"","ERROR",IF(N106&amp;O106&amp;P106&lt;&gt;"","CHECK","OK")))</f>
        <v/>
      </c>
      <c r="J106" s="14" t="str">
        <f aca="false">TRIM(K106&amp;L106&amp;M106&amp;N106&amp;O106&amp;P106)</f>
        <v/>
      </c>
      <c r="K106" s="15" t="str">
        <f aca="true">IF(NOT(COUNTA($A106:$H106)&gt;0),"",IF(A106="","Missing date. ",IF(NOT(ISNUMBER(A106)),"Date is not a real date. ",IF(YEAR(A106)&lt;&gt;Settings!$B$4,"Date outside tax year. ",IF(A106&gt;TODAY(),"Date is in the future. ","")))))</f>
        <v/>
      </c>
      <c r="L106" s="15" t="str">
        <f aca="false">IF(NOT(COUNTA($A106:$H106)&gt;0),"",IF(E106="","Missing amount. ",IF(NOT(ISNUMBER(E106)),"Amount is not a number. ",IF(E106&lt;=0,"Amount must be above zero. ",""))))</f>
        <v/>
      </c>
      <c r="M106" s="15" t="str">
        <f aca="false">IF(NOT(COUNTA($A106:$H106)&gt;0),"",IF(D106="","Missing category. ",IF(COUNTIF(Settings!$B$11:$B$40,D106)=0,"Category not in your list. ","")))</f>
        <v/>
      </c>
      <c r="N106" s="15" t="str">
        <f aca="false">IF(AND(ISNUMBER(A106),ISNUMBER(E106),B106&lt;&gt;""),IF(COUNTIFS($A$6:$A$505,A106,$B$6:$B$505,B106,$E$6:$E$505,E106)&gt;1,"Possible duplicate. ",""),"")</f>
        <v/>
      </c>
      <c r="O106" s="15" t="str">
        <f aca="false">IF(AND(ISNUMBER(E106),E106&gt;=Settings!$B$6,G106&lt;&gt;"Yes"),"Receipt not marked as saved. ","")</f>
        <v/>
      </c>
      <c r="P106" s="15" t="str">
        <f aca="false">IF(AND(ISNUMBER(E106),E106&gt;=Settings!$B$5),"Large amount: review. ","")</f>
        <v/>
      </c>
    </row>
    <row r="107" customFormat="false" ht="15" hidden="false" customHeight="false" outlineLevel="0" collapsed="false">
      <c r="A107" s="10"/>
      <c r="B107" s="11"/>
      <c r="C107" s="11"/>
      <c r="D107" s="11"/>
      <c r="E107" s="12"/>
      <c r="F107" s="11"/>
      <c r="G107" s="11"/>
      <c r="H107" s="11"/>
      <c r="I107" s="13" t="str">
        <f aca="false">IF(NOT(COUNTA($A107:$H107)&gt;0),"",IF(K107&amp;L107&amp;M107&lt;&gt;"","ERROR",IF(N107&amp;O107&amp;P107&lt;&gt;"","CHECK","OK")))</f>
        <v/>
      </c>
      <c r="J107" s="14" t="str">
        <f aca="false">TRIM(K107&amp;L107&amp;M107&amp;N107&amp;O107&amp;P107)</f>
        <v/>
      </c>
      <c r="K107" s="15" t="str">
        <f aca="true">IF(NOT(COUNTA($A107:$H107)&gt;0),"",IF(A107="","Missing date. ",IF(NOT(ISNUMBER(A107)),"Date is not a real date. ",IF(YEAR(A107)&lt;&gt;Settings!$B$4,"Date outside tax year. ",IF(A107&gt;TODAY(),"Date is in the future. ","")))))</f>
        <v/>
      </c>
      <c r="L107" s="15" t="str">
        <f aca="false">IF(NOT(COUNTA($A107:$H107)&gt;0),"",IF(E107="","Missing amount. ",IF(NOT(ISNUMBER(E107)),"Amount is not a number. ",IF(E107&lt;=0,"Amount must be above zero. ",""))))</f>
        <v/>
      </c>
      <c r="M107" s="15" t="str">
        <f aca="false">IF(NOT(COUNTA($A107:$H107)&gt;0),"",IF(D107="","Missing category. ",IF(COUNTIF(Settings!$B$11:$B$40,D107)=0,"Category not in your list. ","")))</f>
        <v/>
      </c>
      <c r="N107" s="15" t="str">
        <f aca="false">IF(AND(ISNUMBER(A107),ISNUMBER(E107),B107&lt;&gt;""),IF(COUNTIFS($A$6:$A$505,A107,$B$6:$B$505,B107,$E$6:$E$505,E107)&gt;1,"Possible duplicate. ",""),"")</f>
        <v/>
      </c>
      <c r="O107" s="15" t="str">
        <f aca="false">IF(AND(ISNUMBER(E107),E107&gt;=Settings!$B$6,G107&lt;&gt;"Yes"),"Receipt not marked as saved. ","")</f>
        <v/>
      </c>
      <c r="P107" s="15" t="str">
        <f aca="false">IF(AND(ISNUMBER(E107),E107&gt;=Settings!$B$5),"Large amount: review. ","")</f>
        <v/>
      </c>
    </row>
    <row r="108" customFormat="false" ht="15" hidden="false" customHeight="false" outlineLevel="0" collapsed="false">
      <c r="A108" s="10"/>
      <c r="B108" s="11"/>
      <c r="C108" s="11"/>
      <c r="D108" s="11"/>
      <c r="E108" s="12"/>
      <c r="F108" s="11"/>
      <c r="G108" s="11"/>
      <c r="H108" s="11"/>
      <c r="I108" s="13" t="str">
        <f aca="false">IF(NOT(COUNTA($A108:$H108)&gt;0),"",IF(K108&amp;L108&amp;M108&lt;&gt;"","ERROR",IF(N108&amp;O108&amp;P108&lt;&gt;"","CHECK","OK")))</f>
        <v/>
      </c>
      <c r="J108" s="14" t="str">
        <f aca="false">TRIM(K108&amp;L108&amp;M108&amp;N108&amp;O108&amp;P108)</f>
        <v/>
      </c>
      <c r="K108" s="15" t="str">
        <f aca="true">IF(NOT(COUNTA($A108:$H108)&gt;0),"",IF(A108="","Missing date. ",IF(NOT(ISNUMBER(A108)),"Date is not a real date. ",IF(YEAR(A108)&lt;&gt;Settings!$B$4,"Date outside tax year. ",IF(A108&gt;TODAY(),"Date is in the future. ","")))))</f>
        <v/>
      </c>
      <c r="L108" s="15" t="str">
        <f aca="false">IF(NOT(COUNTA($A108:$H108)&gt;0),"",IF(E108="","Missing amount. ",IF(NOT(ISNUMBER(E108)),"Amount is not a number. ",IF(E108&lt;=0,"Amount must be above zero. ",""))))</f>
        <v/>
      </c>
      <c r="M108" s="15" t="str">
        <f aca="false">IF(NOT(COUNTA($A108:$H108)&gt;0),"",IF(D108="","Missing category. ",IF(COUNTIF(Settings!$B$11:$B$40,D108)=0,"Category not in your list. ","")))</f>
        <v/>
      </c>
      <c r="N108" s="15" t="str">
        <f aca="false">IF(AND(ISNUMBER(A108),ISNUMBER(E108),B108&lt;&gt;""),IF(COUNTIFS($A$6:$A$505,A108,$B$6:$B$505,B108,$E$6:$E$505,E108)&gt;1,"Possible duplicate. ",""),"")</f>
        <v/>
      </c>
      <c r="O108" s="15" t="str">
        <f aca="false">IF(AND(ISNUMBER(E108),E108&gt;=Settings!$B$6,G108&lt;&gt;"Yes"),"Receipt not marked as saved. ","")</f>
        <v/>
      </c>
      <c r="P108" s="15" t="str">
        <f aca="false">IF(AND(ISNUMBER(E108),E108&gt;=Settings!$B$5),"Large amount: review. ","")</f>
        <v/>
      </c>
    </row>
    <row r="109" customFormat="false" ht="15" hidden="false" customHeight="false" outlineLevel="0" collapsed="false">
      <c r="A109" s="10"/>
      <c r="B109" s="11"/>
      <c r="C109" s="11"/>
      <c r="D109" s="11"/>
      <c r="E109" s="12"/>
      <c r="F109" s="11"/>
      <c r="G109" s="11"/>
      <c r="H109" s="11"/>
      <c r="I109" s="13" t="str">
        <f aca="false">IF(NOT(COUNTA($A109:$H109)&gt;0),"",IF(K109&amp;L109&amp;M109&lt;&gt;"","ERROR",IF(N109&amp;O109&amp;P109&lt;&gt;"","CHECK","OK")))</f>
        <v/>
      </c>
      <c r="J109" s="14" t="str">
        <f aca="false">TRIM(K109&amp;L109&amp;M109&amp;N109&amp;O109&amp;P109)</f>
        <v/>
      </c>
      <c r="K109" s="15" t="str">
        <f aca="true">IF(NOT(COUNTA($A109:$H109)&gt;0),"",IF(A109="","Missing date. ",IF(NOT(ISNUMBER(A109)),"Date is not a real date. ",IF(YEAR(A109)&lt;&gt;Settings!$B$4,"Date outside tax year. ",IF(A109&gt;TODAY(),"Date is in the future. ","")))))</f>
        <v/>
      </c>
      <c r="L109" s="15" t="str">
        <f aca="false">IF(NOT(COUNTA($A109:$H109)&gt;0),"",IF(E109="","Missing amount. ",IF(NOT(ISNUMBER(E109)),"Amount is not a number. ",IF(E109&lt;=0,"Amount must be above zero. ",""))))</f>
        <v/>
      </c>
      <c r="M109" s="15" t="str">
        <f aca="false">IF(NOT(COUNTA($A109:$H109)&gt;0),"",IF(D109="","Missing category. ",IF(COUNTIF(Settings!$B$11:$B$40,D109)=0,"Category not in your list. ","")))</f>
        <v/>
      </c>
      <c r="N109" s="15" t="str">
        <f aca="false">IF(AND(ISNUMBER(A109),ISNUMBER(E109),B109&lt;&gt;""),IF(COUNTIFS($A$6:$A$505,A109,$B$6:$B$505,B109,$E$6:$E$505,E109)&gt;1,"Possible duplicate. ",""),"")</f>
        <v/>
      </c>
      <c r="O109" s="15" t="str">
        <f aca="false">IF(AND(ISNUMBER(E109),E109&gt;=Settings!$B$6,G109&lt;&gt;"Yes"),"Receipt not marked as saved. ","")</f>
        <v/>
      </c>
      <c r="P109" s="15" t="str">
        <f aca="false">IF(AND(ISNUMBER(E109),E109&gt;=Settings!$B$5),"Large amount: review. ","")</f>
        <v/>
      </c>
    </row>
    <row r="110" customFormat="false" ht="15" hidden="false" customHeight="false" outlineLevel="0" collapsed="false">
      <c r="A110" s="10"/>
      <c r="B110" s="11"/>
      <c r="C110" s="11"/>
      <c r="D110" s="11"/>
      <c r="E110" s="12"/>
      <c r="F110" s="11"/>
      <c r="G110" s="11"/>
      <c r="H110" s="11"/>
      <c r="I110" s="13" t="str">
        <f aca="false">IF(NOT(COUNTA($A110:$H110)&gt;0),"",IF(K110&amp;L110&amp;M110&lt;&gt;"","ERROR",IF(N110&amp;O110&amp;P110&lt;&gt;"","CHECK","OK")))</f>
        <v/>
      </c>
      <c r="J110" s="14" t="str">
        <f aca="false">TRIM(K110&amp;L110&amp;M110&amp;N110&amp;O110&amp;P110)</f>
        <v/>
      </c>
      <c r="K110" s="15" t="str">
        <f aca="true">IF(NOT(COUNTA($A110:$H110)&gt;0),"",IF(A110="","Missing date. ",IF(NOT(ISNUMBER(A110)),"Date is not a real date. ",IF(YEAR(A110)&lt;&gt;Settings!$B$4,"Date outside tax year. ",IF(A110&gt;TODAY(),"Date is in the future. ","")))))</f>
        <v/>
      </c>
      <c r="L110" s="15" t="str">
        <f aca="false">IF(NOT(COUNTA($A110:$H110)&gt;0),"",IF(E110="","Missing amount. ",IF(NOT(ISNUMBER(E110)),"Amount is not a number. ",IF(E110&lt;=0,"Amount must be above zero. ",""))))</f>
        <v/>
      </c>
      <c r="M110" s="15" t="str">
        <f aca="false">IF(NOT(COUNTA($A110:$H110)&gt;0),"",IF(D110="","Missing category. ",IF(COUNTIF(Settings!$B$11:$B$40,D110)=0,"Category not in your list. ","")))</f>
        <v/>
      </c>
      <c r="N110" s="15" t="str">
        <f aca="false">IF(AND(ISNUMBER(A110),ISNUMBER(E110),B110&lt;&gt;""),IF(COUNTIFS($A$6:$A$505,A110,$B$6:$B$505,B110,$E$6:$E$505,E110)&gt;1,"Possible duplicate. ",""),"")</f>
        <v/>
      </c>
      <c r="O110" s="15" t="str">
        <f aca="false">IF(AND(ISNUMBER(E110),E110&gt;=Settings!$B$6,G110&lt;&gt;"Yes"),"Receipt not marked as saved. ","")</f>
        <v/>
      </c>
      <c r="P110" s="15" t="str">
        <f aca="false">IF(AND(ISNUMBER(E110),E110&gt;=Settings!$B$5),"Large amount: review. ","")</f>
        <v/>
      </c>
    </row>
    <row r="111" customFormat="false" ht="15" hidden="false" customHeight="false" outlineLevel="0" collapsed="false">
      <c r="A111" s="10"/>
      <c r="B111" s="11"/>
      <c r="C111" s="11"/>
      <c r="D111" s="11"/>
      <c r="E111" s="12"/>
      <c r="F111" s="11"/>
      <c r="G111" s="11"/>
      <c r="H111" s="11"/>
      <c r="I111" s="13" t="str">
        <f aca="false">IF(NOT(COUNTA($A111:$H111)&gt;0),"",IF(K111&amp;L111&amp;M111&lt;&gt;"","ERROR",IF(N111&amp;O111&amp;P111&lt;&gt;"","CHECK","OK")))</f>
        <v/>
      </c>
      <c r="J111" s="14" t="str">
        <f aca="false">TRIM(K111&amp;L111&amp;M111&amp;N111&amp;O111&amp;P111)</f>
        <v/>
      </c>
      <c r="K111" s="15" t="str">
        <f aca="true">IF(NOT(COUNTA($A111:$H111)&gt;0),"",IF(A111="","Missing date. ",IF(NOT(ISNUMBER(A111)),"Date is not a real date. ",IF(YEAR(A111)&lt;&gt;Settings!$B$4,"Date outside tax year. ",IF(A111&gt;TODAY(),"Date is in the future. ","")))))</f>
        <v/>
      </c>
      <c r="L111" s="15" t="str">
        <f aca="false">IF(NOT(COUNTA($A111:$H111)&gt;0),"",IF(E111="","Missing amount. ",IF(NOT(ISNUMBER(E111)),"Amount is not a number. ",IF(E111&lt;=0,"Amount must be above zero. ",""))))</f>
        <v/>
      </c>
      <c r="M111" s="15" t="str">
        <f aca="false">IF(NOT(COUNTA($A111:$H111)&gt;0),"",IF(D111="","Missing category. ",IF(COUNTIF(Settings!$B$11:$B$40,D111)=0,"Category not in your list. ","")))</f>
        <v/>
      </c>
      <c r="N111" s="15" t="str">
        <f aca="false">IF(AND(ISNUMBER(A111),ISNUMBER(E111),B111&lt;&gt;""),IF(COUNTIFS($A$6:$A$505,A111,$B$6:$B$505,B111,$E$6:$E$505,E111)&gt;1,"Possible duplicate. ",""),"")</f>
        <v/>
      </c>
      <c r="O111" s="15" t="str">
        <f aca="false">IF(AND(ISNUMBER(E111),E111&gt;=Settings!$B$6,G111&lt;&gt;"Yes"),"Receipt not marked as saved. ","")</f>
        <v/>
      </c>
      <c r="P111" s="15" t="str">
        <f aca="false">IF(AND(ISNUMBER(E111),E111&gt;=Settings!$B$5),"Large amount: review. ","")</f>
        <v/>
      </c>
    </row>
    <row r="112" customFormat="false" ht="15" hidden="false" customHeight="false" outlineLevel="0" collapsed="false">
      <c r="A112" s="10"/>
      <c r="B112" s="11"/>
      <c r="C112" s="11"/>
      <c r="D112" s="11"/>
      <c r="E112" s="12"/>
      <c r="F112" s="11"/>
      <c r="G112" s="11"/>
      <c r="H112" s="11"/>
      <c r="I112" s="13" t="str">
        <f aca="false">IF(NOT(COUNTA($A112:$H112)&gt;0),"",IF(K112&amp;L112&amp;M112&lt;&gt;"","ERROR",IF(N112&amp;O112&amp;P112&lt;&gt;"","CHECK","OK")))</f>
        <v/>
      </c>
      <c r="J112" s="14" t="str">
        <f aca="false">TRIM(K112&amp;L112&amp;M112&amp;N112&amp;O112&amp;P112)</f>
        <v/>
      </c>
      <c r="K112" s="15" t="str">
        <f aca="true">IF(NOT(COUNTA($A112:$H112)&gt;0),"",IF(A112="","Missing date. ",IF(NOT(ISNUMBER(A112)),"Date is not a real date. ",IF(YEAR(A112)&lt;&gt;Settings!$B$4,"Date outside tax year. ",IF(A112&gt;TODAY(),"Date is in the future. ","")))))</f>
        <v/>
      </c>
      <c r="L112" s="15" t="str">
        <f aca="false">IF(NOT(COUNTA($A112:$H112)&gt;0),"",IF(E112="","Missing amount. ",IF(NOT(ISNUMBER(E112)),"Amount is not a number. ",IF(E112&lt;=0,"Amount must be above zero. ",""))))</f>
        <v/>
      </c>
      <c r="M112" s="15" t="str">
        <f aca="false">IF(NOT(COUNTA($A112:$H112)&gt;0),"",IF(D112="","Missing category. ",IF(COUNTIF(Settings!$B$11:$B$40,D112)=0,"Category not in your list. ","")))</f>
        <v/>
      </c>
      <c r="N112" s="15" t="str">
        <f aca="false">IF(AND(ISNUMBER(A112),ISNUMBER(E112),B112&lt;&gt;""),IF(COUNTIFS($A$6:$A$505,A112,$B$6:$B$505,B112,$E$6:$E$505,E112)&gt;1,"Possible duplicate. ",""),"")</f>
        <v/>
      </c>
      <c r="O112" s="15" t="str">
        <f aca="false">IF(AND(ISNUMBER(E112),E112&gt;=Settings!$B$6,G112&lt;&gt;"Yes"),"Receipt not marked as saved. ","")</f>
        <v/>
      </c>
      <c r="P112" s="15" t="str">
        <f aca="false">IF(AND(ISNUMBER(E112),E112&gt;=Settings!$B$5),"Large amount: review. ","")</f>
        <v/>
      </c>
    </row>
    <row r="113" customFormat="false" ht="15" hidden="false" customHeight="false" outlineLevel="0" collapsed="false">
      <c r="A113" s="10"/>
      <c r="B113" s="11"/>
      <c r="C113" s="11"/>
      <c r="D113" s="11"/>
      <c r="E113" s="12"/>
      <c r="F113" s="11"/>
      <c r="G113" s="11"/>
      <c r="H113" s="11"/>
      <c r="I113" s="13" t="str">
        <f aca="false">IF(NOT(COUNTA($A113:$H113)&gt;0),"",IF(K113&amp;L113&amp;M113&lt;&gt;"","ERROR",IF(N113&amp;O113&amp;P113&lt;&gt;"","CHECK","OK")))</f>
        <v/>
      </c>
      <c r="J113" s="14" t="str">
        <f aca="false">TRIM(K113&amp;L113&amp;M113&amp;N113&amp;O113&amp;P113)</f>
        <v/>
      </c>
      <c r="K113" s="15" t="str">
        <f aca="true">IF(NOT(COUNTA($A113:$H113)&gt;0),"",IF(A113="","Missing date. ",IF(NOT(ISNUMBER(A113)),"Date is not a real date. ",IF(YEAR(A113)&lt;&gt;Settings!$B$4,"Date outside tax year. ",IF(A113&gt;TODAY(),"Date is in the future. ","")))))</f>
        <v/>
      </c>
      <c r="L113" s="15" t="str">
        <f aca="false">IF(NOT(COUNTA($A113:$H113)&gt;0),"",IF(E113="","Missing amount. ",IF(NOT(ISNUMBER(E113)),"Amount is not a number. ",IF(E113&lt;=0,"Amount must be above zero. ",""))))</f>
        <v/>
      </c>
      <c r="M113" s="15" t="str">
        <f aca="false">IF(NOT(COUNTA($A113:$H113)&gt;0),"",IF(D113="","Missing category. ",IF(COUNTIF(Settings!$B$11:$B$40,D113)=0,"Category not in your list. ","")))</f>
        <v/>
      </c>
      <c r="N113" s="15" t="str">
        <f aca="false">IF(AND(ISNUMBER(A113),ISNUMBER(E113),B113&lt;&gt;""),IF(COUNTIFS($A$6:$A$505,A113,$B$6:$B$505,B113,$E$6:$E$505,E113)&gt;1,"Possible duplicate. ",""),"")</f>
        <v/>
      </c>
      <c r="O113" s="15" t="str">
        <f aca="false">IF(AND(ISNUMBER(E113),E113&gt;=Settings!$B$6,G113&lt;&gt;"Yes"),"Receipt not marked as saved. ","")</f>
        <v/>
      </c>
      <c r="P113" s="15" t="str">
        <f aca="false">IF(AND(ISNUMBER(E113),E113&gt;=Settings!$B$5),"Large amount: review. ","")</f>
        <v/>
      </c>
    </row>
    <row r="114" customFormat="false" ht="15" hidden="false" customHeight="false" outlineLevel="0" collapsed="false">
      <c r="A114" s="10"/>
      <c r="B114" s="11"/>
      <c r="C114" s="11"/>
      <c r="D114" s="11"/>
      <c r="E114" s="12"/>
      <c r="F114" s="11"/>
      <c r="G114" s="11"/>
      <c r="H114" s="11"/>
      <c r="I114" s="13" t="str">
        <f aca="false">IF(NOT(COUNTA($A114:$H114)&gt;0),"",IF(K114&amp;L114&amp;M114&lt;&gt;"","ERROR",IF(N114&amp;O114&amp;P114&lt;&gt;"","CHECK","OK")))</f>
        <v/>
      </c>
      <c r="J114" s="14" t="str">
        <f aca="false">TRIM(K114&amp;L114&amp;M114&amp;N114&amp;O114&amp;P114)</f>
        <v/>
      </c>
      <c r="K114" s="15" t="str">
        <f aca="true">IF(NOT(COUNTA($A114:$H114)&gt;0),"",IF(A114="","Missing date. ",IF(NOT(ISNUMBER(A114)),"Date is not a real date. ",IF(YEAR(A114)&lt;&gt;Settings!$B$4,"Date outside tax year. ",IF(A114&gt;TODAY(),"Date is in the future. ","")))))</f>
        <v/>
      </c>
      <c r="L114" s="15" t="str">
        <f aca="false">IF(NOT(COUNTA($A114:$H114)&gt;0),"",IF(E114="","Missing amount. ",IF(NOT(ISNUMBER(E114)),"Amount is not a number. ",IF(E114&lt;=0,"Amount must be above zero. ",""))))</f>
        <v/>
      </c>
      <c r="M114" s="15" t="str">
        <f aca="false">IF(NOT(COUNTA($A114:$H114)&gt;0),"",IF(D114="","Missing category. ",IF(COUNTIF(Settings!$B$11:$B$40,D114)=0,"Category not in your list. ","")))</f>
        <v/>
      </c>
      <c r="N114" s="15" t="str">
        <f aca="false">IF(AND(ISNUMBER(A114),ISNUMBER(E114),B114&lt;&gt;""),IF(COUNTIFS($A$6:$A$505,A114,$B$6:$B$505,B114,$E$6:$E$505,E114)&gt;1,"Possible duplicate. ",""),"")</f>
        <v/>
      </c>
      <c r="O114" s="15" t="str">
        <f aca="false">IF(AND(ISNUMBER(E114),E114&gt;=Settings!$B$6,G114&lt;&gt;"Yes"),"Receipt not marked as saved. ","")</f>
        <v/>
      </c>
      <c r="P114" s="15" t="str">
        <f aca="false">IF(AND(ISNUMBER(E114),E114&gt;=Settings!$B$5),"Large amount: review. ","")</f>
        <v/>
      </c>
    </row>
    <row r="115" customFormat="false" ht="15" hidden="false" customHeight="false" outlineLevel="0" collapsed="false">
      <c r="A115" s="10"/>
      <c r="B115" s="11"/>
      <c r="C115" s="11"/>
      <c r="D115" s="11"/>
      <c r="E115" s="12"/>
      <c r="F115" s="11"/>
      <c r="G115" s="11"/>
      <c r="H115" s="11"/>
      <c r="I115" s="13" t="str">
        <f aca="false">IF(NOT(COUNTA($A115:$H115)&gt;0),"",IF(K115&amp;L115&amp;M115&lt;&gt;"","ERROR",IF(N115&amp;O115&amp;P115&lt;&gt;"","CHECK","OK")))</f>
        <v/>
      </c>
      <c r="J115" s="14" t="str">
        <f aca="false">TRIM(K115&amp;L115&amp;M115&amp;N115&amp;O115&amp;P115)</f>
        <v/>
      </c>
      <c r="K115" s="15" t="str">
        <f aca="true">IF(NOT(COUNTA($A115:$H115)&gt;0),"",IF(A115="","Missing date. ",IF(NOT(ISNUMBER(A115)),"Date is not a real date. ",IF(YEAR(A115)&lt;&gt;Settings!$B$4,"Date outside tax year. ",IF(A115&gt;TODAY(),"Date is in the future. ","")))))</f>
        <v/>
      </c>
      <c r="L115" s="15" t="str">
        <f aca="false">IF(NOT(COUNTA($A115:$H115)&gt;0),"",IF(E115="","Missing amount. ",IF(NOT(ISNUMBER(E115)),"Amount is not a number. ",IF(E115&lt;=0,"Amount must be above zero. ",""))))</f>
        <v/>
      </c>
      <c r="M115" s="15" t="str">
        <f aca="false">IF(NOT(COUNTA($A115:$H115)&gt;0),"",IF(D115="","Missing category. ",IF(COUNTIF(Settings!$B$11:$B$40,D115)=0,"Category not in your list. ","")))</f>
        <v/>
      </c>
      <c r="N115" s="15" t="str">
        <f aca="false">IF(AND(ISNUMBER(A115),ISNUMBER(E115),B115&lt;&gt;""),IF(COUNTIFS($A$6:$A$505,A115,$B$6:$B$505,B115,$E$6:$E$505,E115)&gt;1,"Possible duplicate. ",""),"")</f>
        <v/>
      </c>
      <c r="O115" s="15" t="str">
        <f aca="false">IF(AND(ISNUMBER(E115),E115&gt;=Settings!$B$6,G115&lt;&gt;"Yes"),"Receipt not marked as saved. ","")</f>
        <v/>
      </c>
      <c r="P115" s="15" t="str">
        <f aca="false">IF(AND(ISNUMBER(E115),E115&gt;=Settings!$B$5),"Large amount: review. ","")</f>
        <v/>
      </c>
    </row>
    <row r="116" customFormat="false" ht="15" hidden="false" customHeight="false" outlineLevel="0" collapsed="false">
      <c r="A116" s="10"/>
      <c r="B116" s="11"/>
      <c r="C116" s="11"/>
      <c r="D116" s="11"/>
      <c r="E116" s="12"/>
      <c r="F116" s="11"/>
      <c r="G116" s="11"/>
      <c r="H116" s="11"/>
      <c r="I116" s="13" t="str">
        <f aca="false">IF(NOT(COUNTA($A116:$H116)&gt;0),"",IF(K116&amp;L116&amp;M116&lt;&gt;"","ERROR",IF(N116&amp;O116&amp;P116&lt;&gt;"","CHECK","OK")))</f>
        <v/>
      </c>
      <c r="J116" s="14" t="str">
        <f aca="false">TRIM(K116&amp;L116&amp;M116&amp;N116&amp;O116&amp;P116)</f>
        <v/>
      </c>
      <c r="K116" s="15" t="str">
        <f aca="true">IF(NOT(COUNTA($A116:$H116)&gt;0),"",IF(A116="","Missing date. ",IF(NOT(ISNUMBER(A116)),"Date is not a real date. ",IF(YEAR(A116)&lt;&gt;Settings!$B$4,"Date outside tax year. ",IF(A116&gt;TODAY(),"Date is in the future. ","")))))</f>
        <v/>
      </c>
      <c r="L116" s="15" t="str">
        <f aca="false">IF(NOT(COUNTA($A116:$H116)&gt;0),"",IF(E116="","Missing amount. ",IF(NOT(ISNUMBER(E116)),"Amount is not a number. ",IF(E116&lt;=0,"Amount must be above zero. ",""))))</f>
        <v/>
      </c>
      <c r="M116" s="15" t="str">
        <f aca="false">IF(NOT(COUNTA($A116:$H116)&gt;0),"",IF(D116="","Missing category. ",IF(COUNTIF(Settings!$B$11:$B$40,D116)=0,"Category not in your list. ","")))</f>
        <v/>
      </c>
      <c r="N116" s="15" t="str">
        <f aca="false">IF(AND(ISNUMBER(A116),ISNUMBER(E116),B116&lt;&gt;""),IF(COUNTIFS($A$6:$A$505,A116,$B$6:$B$505,B116,$E$6:$E$505,E116)&gt;1,"Possible duplicate. ",""),"")</f>
        <v/>
      </c>
      <c r="O116" s="15" t="str">
        <f aca="false">IF(AND(ISNUMBER(E116),E116&gt;=Settings!$B$6,G116&lt;&gt;"Yes"),"Receipt not marked as saved. ","")</f>
        <v/>
      </c>
      <c r="P116" s="15" t="str">
        <f aca="false">IF(AND(ISNUMBER(E116),E116&gt;=Settings!$B$5),"Large amount: review. ","")</f>
        <v/>
      </c>
    </row>
    <row r="117" customFormat="false" ht="15" hidden="false" customHeight="false" outlineLevel="0" collapsed="false">
      <c r="A117" s="10"/>
      <c r="B117" s="11"/>
      <c r="C117" s="11"/>
      <c r="D117" s="11"/>
      <c r="E117" s="12"/>
      <c r="F117" s="11"/>
      <c r="G117" s="11"/>
      <c r="H117" s="11"/>
      <c r="I117" s="13" t="str">
        <f aca="false">IF(NOT(COUNTA($A117:$H117)&gt;0),"",IF(K117&amp;L117&amp;M117&lt;&gt;"","ERROR",IF(N117&amp;O117&amp;P117&lt;&gt;"","CHECK","OK")))</f>
        <v/>
      </c>
      <c r="J117" s="14" t="str">
        <f aca="false">TRIM(K117&amp;L117&amp;M117&amp;N117&amp;O117&amp;P117)</f>
        <v/>
      </c>
      <c r="K117" s="15" t="str">
        <f aca="true">IF(NOT(COUNTA($A117:$H117)&gt;0),"",IF(A117="","Missing date. ",IF(NOT(ISNUMBER(A117)),"Date is not a real date. ",IF(YEAR(A117)&lt;&gt;Settings!$B$4,"Date outside tax year. ",IF(A117&gt;TODAY(),"Date is in the future. ","")))))</f>
        <v/>
      </c>
      <c r="L117" s="15" t="str">
        <f aca="false">IF(NOT(COUNTA($A117:$H117)&gt;0),"",IF(E117="","Missing amount. ",IF(NOT(ISNUMBER(E117)),"Amount is not a number. ",IF(E117&lt;=0,"Amount must be above zero. ",""))))</f>
        <v/>
      </c>
      <c r="M117" s="15" t="str">
        <f aca="false">IF(NOT(COUNTA($A117:$H117)&gt;0),"",IF(D117="","Missing category. ",IF(COUNTIF(Settings!$B$11:$B$40,D117)=0,"Category not in your list. ","")))</f>
        <v/>
      </c>
      <c r="N117" s="15" t="str">
        <f aca="false">IF(AND(ISNUMBER(A117),ISNUMBER(E117),B117&lt;&gt;""),IF(COUNTIFS($A$6:$A$505,A117,$B$6:$B$505,B117,$E$6:$E$505,E117)&gt;1,"Possible duplicate. ",""),"")</f>
        <v/>
      </c>
      <c r="O117" s="15" t="str">
        <f aca="false">IF(AND(ISNUMBER(E117),E117&gt;=Settings!$B$6,G117&lt;&gt;"Yes"),"Receipt not marked as saved. ","")</f>
        <v/>
      </c>
      <c r="P117" s="15" t="str">
        <f aca="false">IF(AND(ISNUMBER(E117),E117&gt;=Settings!$B$5),"Large amount: review. ","")</f>
        <v/>
      </c>
    </row>
    <row r="118" customFormat="false" ht="15" hidden="false" customHeight="false" outlineLevel="0" collapsed="false">
      <c r="A118" s="10"/>
      <c r="B118" s="11"/>
      <c r="C118" s="11"/>
      <c r="D118" s="11"/>
      <c r="E118" s="12"/>
      <c r="F118" s="11"/>
      <c r="G118" s="11"/>
      <c r="H118" s="11"/>
      <c r="I118" s="13" t="str">
        <f aca="false">IF(NOT(COUNTA($A118:$H118)&gt;0),"",IF(K118&amp;L118&amp;M118&lt;&gt;"","ERROR",IF(N118&amp;O118&amp;P118&lt;&gt;"","CHECK","OK")))</f>
        <v/>
      </c>
      <c r="J118" s="14" t="str">
        <f aca="false">TRIM(K118&amp;L118&amp;M118&amp;N118&amp;O118&amp;P118)</f>
        <v/>
      </c>
      <c r="K118" s="15" t="str">
        <f aca="true">IF(NOT(COUNTA($A118:$H118)&gt;0),"",IF(A118="","Missing date. ",IF(NOT(ISNUMBER(A118)),"Date is not a real date. ",IF(YEAR(A118)&lt;&gt;Settings!$B$4,"Date outside tax year. ",IF(A118&gt;TODAY(),"Date is in the future. ","")))))</f>
        <v/>
      </c>
      <c r="L118" s="15" t="str">
        <f aca="false">IF(NOT(COUNTA($A118:$H118)&gt;0),"",IF(E118="","Missing amount. ",IF(NOT(ISNUMBER(E118)),"Amount is not a number. ",IF(E118&lt;=0,"Amount must be above zero. ",""))))</f>
        <v/>
      </c>
      <c r="M118" s="15" t="str">
        <f aca="false">IF(NOT(COUNTA($A118:$H118)&gt;0),"",IF(D118="","Missing category. ",IF(COUNTIF(Settings!$B$11:$B$40,D118)=0,"Category not in your list. ","")))</f>
        <v/>
      </c>
      <c r="N118" s="15" t="str">
        <f aca="false">IF(AND(ISNUMBER(A118),ISNUMBER(E118),B118&lt;&gt;""),IF(COUNTIFS($A$6:$A$505,A118,$B$6:$B$505,B118,$E$6:$E$505,E118)&gt;1,"Possible duplicate. ",""),"")</f>
        <v/>
      </c>
      <c r="O118" s="15" t="str">
        <f aca="false">IF(AND(ISNUMBER(E118),E118&gt;=Settings!$B$6,G118&lt;&gt;"Yes"),"Receipt not marked as saved. ","")</f>
        <v/>
      </c>
      <c r="P118" s="15" t="str">
        <f aca="false">IF(AND(ISNUMBER(E118),E118&gt;=Settings!$B$5),"Large amount: review. ","")</f>
        <v/>
      </c>
    </row>
    <row r="119" customFormat="false" ht="15" hidden="false" customHeight="false" outlineLevel="0" collapsed="false">
      <c r="A119" s="10"/>
      <c r="B119" s="11"/>
      <c r="C119" s="11"/>
      <c r="D119" s="11"/>
      <c r="E119" s="12"/>
      <c r="F119" s="11"/>
      <c r="G119" s="11"/>
      <c r="H119" s="11"/>
      <c r="I119" s="13" t="str">
        <f aca="false">IF(NOT(COUNTA($A119:$H119)&gt;0),"",IF(K119&amp;L119&amp;M119&lt;&gt;"","ERROR",IF(N119&amp;O119&amp;P119&lt;&gt;"","CHECK","OK")))</f>
        <v/>
      </c>
      <c r="J119" s="14" t="str">
        <f aca="false">TRIM(K119&amp;L119&amp;M119&amp;N119&amp;O119&amp;P119)</f>
        <v/>
      </c>
      <c r="K119" s="15" t="str">
        <f aca="true">IF(NOT(COUNTA($A119:$H119)&gt;0),"",IF(A119="","Missing date. ",IF(NOT(ISNUMBER(A119)),"Date is not a real date. ",IF(YEAR(A119)&lt;&gt;Settings!$B$4,"Date outside tax year. ",IF(A119&gt;TODAY(),"Date is in the future. ","")))))</f>
        <v/>
      </c>
      <c r="L119" s="15" t="str">
        <f aca="false">IF(NOT(COUNTA($A119:$H119)&gt;0),"",IF(E119="","Missing amount. ",IF(NOT(ISNUMBER(E119)),"Amount is not a number. ",IF(E119&lt;=0,"Amount must be above zero. ",""))))</f>
        <v/>
      </c>
      <c r="M119" s="15" t="str">
        <f aca="false">IF(NOT(COUNTA($A119:$H119)&gt;0),"",IF(D119="","Missing category. ",IF(COUNTIF(Settings!$B$11:$B$40,D119)=0,"Category not in your list. ","")))</f>
        <v/>
      </c>
      <c r="N119" s="15" t="str">
        <f aca="false">IF(AND(ISNUMBER(A119),ISNUMBER(E119),B119&lt;&gt;""),IF(COUNTIFS($A$6:$A$505,A119,$B$6:$B$505,B119,$E$6:$E$505,E119)&gt;1,"Possible duplicate. ",""),"")</f>
        <v/>
      </c>
      <c r="O119" s="15" t="str">
        <f aca="false">IF(AND(ISNUMBER(E119),E119&gt;=Settings!$B$6,G119&lt;&gt;"Yes"),"Receipt not marked as saved. ","")</f>
        <v/>
      </c>
      <c r="P119" s="15" t="str">
        <f aca="false">IF(AND(ISNUMBER(E119),E119&gt;=Settings!$B$5),"Large amount: review. ","")</f>
        <v/>
      </c>
    </row>
    <row r="120" customFormat="false" ht="15" hidden="false" customHeight="false" outlineLevel="0" collapsed="false">
      <c r="A120" s="10"/>
      <c r="B120" s="11"/>
      <c r="C120" s="11"/>
      <c r="D120" s="11"/>
      <c r="E120" s="12"/>
      <c r="F120" s="11"/>
      <c r="G120" s="11"/>
      <c r="H120" s="11"/>
      <c r="I120" s="13" t="str">
        <f aca="false">IF(NOT(COUNTA($A120:$H120)&gt;0),"",IF(K120&amp;L120&amp;M120&lt;&gt;"","ERROR",IF(N120&amp;O120&amp;P120&lt;&gt;"","CHECK","OK")))</f>
        <v/>
      </c>
      <c r="J120" s="14" t="str">
        <f aca="false">TRIM(K120&amp;L120&amp;M120&amp;N120&amp;O120&amp;P120)</f>
        <v/>
      </c>
      <c r="K120" s="15" t="str">
        <f aca="true">IF(NOT(COUNTA($A120:$H120)&gt;0),"",IF(A120="","Missing date. ",IF(NOT(ISNUMBER(A120)),"Date is not a real date. ",IF(YEAR(A120)&lt;&gt;Settings!$B$4,"Date outside tax year. ",IF(A120&gt;TODAY(),"Date is in the future. ","")))))</f>
        <v/>
      </c>
      <c r="L120" s="15" t="str">
        <f aca="false">IF(NOT(COUNTA($A120:$H120)&gt;0),"",IF(E120="","Missing amount. ",IF(NOT(ISNUMBER(E120)),"Amount is not a number. ",IF(E120&lt;=0,"Amount must be above zero. ",""))))</f>
        <v/>
      </c>
      <c r="M120" s="15" t="str">
        <f aca="false">IF(NOT(COUNTA($A120:$H120)&gt;0),"",IF(D120="","Missing category. ",IF(COUNTIF(Settings!$B$11:$B$40,D120)=0,"Category not in your list. ","")))</f>
        <v/>
      </c>
      <c r="N120" s="15" t="str">
        <f aca="false">IF(AND(ISNUMBER(A120),ISNUMBER(E120),B120&lt;&gt;""),IF(COUNTIFS($A$6:$A$505,A120,$B$6:$B$505,B120,$E$6:$E$505,E120)&gt;1,"Possible duplicate. ",""),"")</f>
        <v/>
      </c>
      <c r="O120" s="15" t="str">
        <f aca="false">IF(AND(ISNUMBER(E120),E120&gt;=Settings!$B$6,G120&lt;&gt;"Yes"),"Receipt not marked as saved. ","")</f>
        <v/>
      </c>
      <c r="P120" s="15" t="str">
        <f aca="false">IF(AND(ISNUMBER(E120),E120&gt;=Settings!$B$5),"Large amount: review. ","")</f>
        <v/>
      </c>
    </row>
    <row r="121" customFormat="false" ht="15" hidden="false" customHeight="false" outlineLevel="0" collapsed="false">
      <c r="A121" s="10"/>
      <c r="B121" s="11"/>
      <c r="C121" s="11"/>
      <c r="D121" s="11"/>
      <c r="E121" s="12"/>
      <c r="F121" s="11"/>
      <c r="G121" s="11"/>
      <c r="H121" s="11"/>
      <c r="I121" s="13" t="str">
        <f aca="false">IF(NOT(COUNTA($A121:$H121)&gt;0),"",IF(K121&amp;L121&amp;M121&lt;&gt;"","ERROR",IF(N121&amp;O121&amp;P121&lt;&gt;"","CHECK","OK")))</f>
        <v/>
      </c>
      <c r="J121" s="14" t="str">
        <f aca="false">TRIM(K121&amp;L121&amp;M121&amp;N121&amp;O121&amp;P121)</f>
        <v/>
      </c>
      <c r="K121" s="15" t="str">
        <f aca="true">IF(NOT(COUNTA($A121:$H121)&gt;0),"",IF(A121="","Missing date. ",IF(NOT(ISNUMBER(A121)),"Date is not a real date. ",IF(YEAR(A121)&lt;&gt;Settings!$B$4,"Date outside tax year. ",IF(A121&gt;TODAY(),"Date is in the future. ","")))))</f>
        <v/>
      </c>
      <c r="L121" s="15" t="str">
        <f aca="false">IF(NOT(COUNTA($A121:$H121)&gt;0),"",IF(E121="","Missing amount. ",IF(NOT(ISNUMBER(E121)),"Amount is not a number. ",IF(E121&lt;=0,"Amount must be above zero. ",""))))</f>
        <v/>
      </c>
      <c r="M121" s="15" t="str">
        <f aca="false">IF(NOT(COUNTA($A121:$H121)&gt;0),"",IF(D121="","Missing category. ",IF(COUNTIF(Settings!$B$11:$B$40,D121)=0,"Category not in your list. ","")))</f>
        <v/>
      </c>
      <c r="N121" s="15" t="str">
        <f aca="false">IF(AND(ISNUMBER(A121),ISNUMBER(E121),B121&lt;&gt;""),IF(COUNTIFS($A$6:$A$505,A121,$B$6:$B$505,B121,$E$6:$E$505,E121)&gt;1,"Possible duplicate. ",""),"")</f>
        <v/>
      </c>
      <c r="O121" s="15" t="str">
        <f aca="false">IF(AND(ISNUMBER(E121),E121&gt;=Settings!$B$6,G121&lt;&gt;"Yes"),"Receipt not marked as saved. ","")</f>
        <v/>
      </c>
      <c r="P121" s="15" t="str">
        <f aca="false">IF(AND(ISNUMBER(E121),E121&gt;=Settings!$B$5),"Large amount: review. ","")</f>
        <v/>
      </c>
    </row>
    <row r="122" customFormat="false" ht="15" hidden="false" customHeight="false" outlineLevel="0" collapsed="false">
      <c r="A122" s="10"/>
      <c r="B122" s="11"/>
      <c r="C122" s="11"/>
      <c r="D122" s="11"/>
      <c r="E122" s="12"/>
      <c r="F122" s="11"/>
      <c r="G122" s="11"/>
      <c r="H122" s="11"/>
      <c r="I122" s="13" t="str">
        <f aca="false">IF(NOT(COUNTA($A122:$H122)&gt;0),"",IF(K122&amp;L122&amp;M122&lt;&gt;"","ERROR",IF(N122&amp;O122&amp;P122&lt;&gt;"","CHECK","OK")))</f>
        <v/>
      </c>
      <c r="J122" s="14" t="str">
        <f aca="false">TRIM(K122&amp;L122&amp;M122&amp;N122&amp;O122&amp;P122)</f>
        <v/>
      </c>
      <c r="K122" s="15" t="str">
        <f aca="true">IF(NOT(COUNTA($A122:$H122)&gt;0),"",IF(A122="","Missing date. ",IF(NOT(ISNUMBER(A122)),"Date is not a real date. ",IF(YEAR(A122)&lt;&gt;Settings!$B$4,"Date outside tax year. ",IF(A122&gt;TODAY(),"Date is in the future. ","")))))</f>
        <v/>
      </c>
      <c r="L122" s="15" t="str">
        <f aca="false">IF(NOT(COUNTA($A122:$H122)&gt;0),"",IF(E122="","Missing amount. ",IF(NOT(ISNUMBER(E122)),"Amount is not a number. ",IF(E122&lt;=0,"Amount must be above zero. ",""))))</f>
        <v/>
      </c>
      <c r="M122" s="15" t="str">
        <f aca="false">IF(NOT(COUNTA($A122:$H122)&gt;0),"",IF(D122="","Missing category. ",IF(COUNTIF(Settings!$B$11:$B$40,D122)=0,"Category not in your list. ","")))</f>
        <v/>
      </c>
      <c r="N122" s="15" t="str">
        <f aca="false">IF(AND(ISNUMBER(A122),ISNUMBER(E122),B122&lt;&gt;""),IF(COUNTIFS($A$6:$A$505,A122,$B$6:$B$505,B122,$E$6:$E$505,E122)&gt;1,"Possible duplicate. ",""),"")</f>
        <v/>
      </c>
      <c r="O122" s="15" t="str">
        <f aca="false">IF(AND(ISNUMBER(E122),E122&gt;=Settings!$B$6,G122&lt;&gt;"Yes"),"Receipt not marked as saved. ","")</f>
        <v/>
      </c>
      <c r="P122" s="15" t="str">
        <f aca="false">IF(AND(ISNUMBER(E122),E122&gt;=Settings!$B$5),"Large amount: review. ","")</f>
        <v/>
      </c>
    </row>
    <row r="123" customFormat="false" ht="15" hidden="false" customHeight="false" outlineLevel="0" collapsed="false">
      <c r="A123" s="10"/>
      <c r="B123" s="11"/>
      <c r="C123" s="11"/>
      <c r="D123" s="11"/>
      <c r="E123" s="12"/>
      <c r="F123" s="11"/>
      <c r="G123" s="11"/>
      <c r="H123" s="11"/>
      <c r="I123" s="13" t="str">
        <f aca="false">IF(NOT(COUNTA($A123:$H123)&gt;0),"",IF(K123&amp;L123&amp;M123&lt;&gt;"","ERROR",IF(N123&amp;O123&amp;P123&lt;&gt;"","CHECK","OK")))</f>
        <v/>
      </c>
      <c r="J123" s="14" t="str">
        <f aca="false">TRIM(K123&amp;L123&amp;M123&amp;N123&amp;O123&amp;P123)</f>
        <v/>
      </c>
      <c r="K123" s="15" t="str">
        <f aca="true">IF(NOT(COUNTA($A123:$H123)&gt;0),"",IF(A123="","Missing date. ",IF(NOT(ISNUMBER(A123)),"Date is not a real date. ",IF(YEAR(A123)&lt;&gt;Settings!$B$4,"Date outside tax year. ",IF(A123&gt;TODAY(),"Date is in the future. ","")))))</f>
        <v/>
      </c>
      <c r="L123" s="15" t="str">
        <f aca="false">IF(NOT(COUNTA($A123:$H123)&gt;0),"",IF(E123="","Missing amount. ",IF(NOT(ISNUMBER(E123)),"Amount is not a number. ",IF(E123&lt;=0,"Amount must be above zero. ",""))))</f>
        <v/>
      </c>
      <c r="M123" s="15" t="str">
        <f aca="false">IF(NOT(COUNTA($A123:$H123)&gt;0),"",IF(D123="","Missing category. ",IF(COUNTIF(Settings!$B$11:$B$40,D123)=0,"Category not in your list. ","")))</f>
        <v/>
      </c>
      <c r="N123" s="15" t="str">
        <f aca="false">IF(AND(ISNUMBER(A123),ISNUMBER(E123),B123&lt;&gt;""),IF(COUNTIFS($A$6:$A$505,A123,$B$6:$B$505,B123,$E$6:$E$505,E123)&gt;1,"Possible duplicate. ",""),"")</f>
        <v/>
      </c>
      <c r="O123" s="15" t="str">
        <f aca="false">IF(AND(ISNUMBER(E123),E123&gt;=Settings!$B$6,G123&lt;&gt;"Yes"),"Receipt not marked as saved. ","")</f>
        <v/>
      </c>
      <c r="P123" s="15" t="str">
        <f aca="false">IF(AND(ISNUMBER(E123),E123&gt;=Settings!$B$5),"Large amount: review. ","")</f>
        <v/>
      </c>
    </row>
    <row r="124" customFormat="false" ht="15" hidden="false" customHeight="false" outlineLevel="0" collapsed="false">
      <c r="A124" s="10"/>
      <c r="B124" s="11"/>
      <c r="C124" s="11"/>
      <c r="D124" s="11"/>
      <c r="E124" s="12"/>
      <c r="F124" s="11"/>
      <c r="G124" s="11"/>
      <c r="H124" s="11"/>
      <c r="I124" s="13" t="str">
        <f aca="false">IF(NOT(COUNTA($A124:$H124)&gt;0),"",IF(K124&amp;L124&amp;M124&lt;&gt;"","ERROR",IF(N124&amp;O124&amp;P124&lt;&gt;"","CHECK","OK")))</f>
        <v/>
      </c>
      <c r="J124" s="14" t="str">
        <f aca="false">TRIM(K124&amp;L124&amp;M124&amp;N124&amp;O124&amp;P124)</f>
        <v/>
      </c>
      <c r="K124" s="15" t="str">
        <f aca="true">IF(NOT(COUNTA($A124:$H124)&gt;0),"",IF(A124="","Missing date. ",IF(NOT(ISNUMBER(A124)),"Date is not a real date. ",IF(YEAR(A124)&lt;&gt;Settings!$B$4,"Date outside tax year. ",IF(A124&gt;TODAY(),"Date is in the future. ","")))))</f>
        <v/>
      </c>
      <c r="L124" s="15" t="str">
        <f aca="false">IF(NOT(COUNTA($A124:$H124)&gt;0),"",IF(E124="","Missing amount. ",IF(NOT(ISNUMBER(E124)),"Amount is not a number. ",IF(E124&lt;=0,"Amount must be above zero. ",""))))</f>
        <v/>
      </c>
      <c r="M124" s="15" t="str">
        <f aca="false">IF(NOT(COUNTA($A124:$H124)&gt;0),"",IF(D124="","Missing category. ",IF(COUNTIF(Settings!$B$11:$B$40,D124)=0,"Category not in your list. ","")))</f>
        <v/>
      </c>
      <c r="N124" s="15" t="str">
        <f aca="false">IF(AND(ISNUMBER(A124),ISNUMBER(E124),B124&lt;&gt;""),IF(COUNTIFS($A$6:$A$505,A124,$B$6:$B$505,B124,$E$6:$E$505,E124)&gt;1,"Possible duplicate. ",""),"")</f>
        <v/>
      </c>
      <c r="O124" s="15" t="str">
        <f aca="false">IF(AND(ISNUMBER(E124),E124&gt;=Settings!$B$6,G124&lt;&gt;"Yes"),"Receipt not marked as saved. ","")</f>
        <v/>
      </c>
      <c r="P124" s="15" t="str">
        <f aca="false">IF(AND(ISNUMBER(E124),E124&gt;=Settings!$B$5),"Large amount: review. ","")</f>
        <v/>
      </c>
    </row>
    <row r="125" customFormat="false" ht="15" hidden="false" customHeight="false" outlineLevel="0" collapsed="false">
      <c r="A125" s="10"/>
      <c r="B125" s="11"/>
      <c r="C125" s="11"/>
      <c r="D125" s="11"/>
      <c r="E125" s="12"/>
      <c r="F125" s="11"/>
      <c r="G125" s="11"/>
      <c r="H125" s="11"/>
      <c r="I125" s="13" t="str">
        <f aca="false">IF(NOT(COUNTA($A125:$H125)&gt;0),"",IF(K125&amp;L125&amp;M125&lt;&gt;"","ERROR",IF(N125&amp;O125&amp;P125&lt;&gt;"","CHECK","OK")))</f>
        <v/>
      </c>
      <c r="J125" s="14" t="str">
        <f aca="false">TRIM(K125&amp;L125&amp;M125&amp;N125&amp;O125&amp;P125)</f>
        <v/>
      </c>
      <c r="K125" s="15" t="str">
        <f aca="true">IF(NOT(COUNTA($A125:$H125)&gt;0),"",IF(A125="","Missing date. ",IF(NOT(ISNUMBER(A125)),"Date is not a real date. ",IF(YEAR(A125)&lt;&gt;Settings!$B$4,"Date outside tax year. ",IF(A125&gt;TODAY(),"Date is in the future. ","")))))</f>
        <v/>
      </c>
      <c r="L125" s="15" t="str">
        <f aca="false">IF(NOT(COUNTA($A125:$H125)&gt;0),"",IF(E125="","Missing amount. ",IF(NOT(ISNUMBER(E125)),"Amount is not a number. ",IF(E125&lt;=0,"Amount must be above zero. ",""))))</f>
        <v/>
      </c>
      <c r="M125" s="15" t="str">
        <f aca="false">IF(NOT(COUNTA($A125:$H125)&gt;0),"",IF(D125="","Missing category. ",IF(COUNTIF(Settings!$B$11:$B$40,D125)=0,"Category not in your list. ","")))</f>
        <v/>
      </c>
      <c r="N125" s="15" t="str">
        <f aca="false">IF(AND(ISNUMBER(A125),ISNUMBER(E125),B125&lt;&gt;""),IF(COUNTIFS($A$6:$A$505,A125,$B$6:$B$505,B125,$E$6:$E$505,E125)&gt;1,"Possible duplicate. ",""),"")</f>
        <v/>
      </c>
      <c r="O125" s="15" t="str">
        <f aca="false">IF(AND(ISNUMBER(E125),E125&gt;=Settings!$B$6,G125&lt;&gt;"Yes"),"Receipt not marked as saved. ","")</f>
        <v/>
      </c>
      <c r="P125" s="15" t="str">
        <f aca="false">IF(AND(ISNUMBER(E125),E125&gt;=Settings!$B$5),"Large amount: review. ","")</f>
        <v/>
      </c>
    </row>
    <row r="126" customFormat="false" ht="15" hidden="false" customHeight="false" outlineLevel="0" collapsed="false">
      <c r="A126" s="10"/>
      <c r="B126" s="11"/>
      <c r="C126" s="11"/>
      <c r="D126" s="11"/>
      <c r="E126" s="12"/>
      <c r="F126" s="11"/>
      <c r="G126" s="11"/>
      <c r="H126" s="11"/>
      <c r="I126" s="13" t="str">
        <f aca="false">IF(NOT(COUNTA($A126:$H126)&gt;0),"",IF(K126&amp;L126&amp;M126&lt;&gt;"","ERROR",IF(N126&amp;O126&amp;P126&lt;&gt;"","CHECK","OK")))</f>
        <v/>
      </c>
      <c r="J126" s="14" t="str">
        <f aca="false">TRIM(K126&amp;L126&amp;M126&amp;N126&amp;O126&amp;P126)</f>
        <v/>
      </c>
      <c r="K126" s="15" t="str">
        <f aca="true">IF(NOT(COUNTA($A126:$H126)&gt;0),"",IF(A126="","Missing date. ",IF(NOT(ISNUMBER(A126)),"Date is not a real date. ",IF(YEAR(A126)&lt;&gt;Settings!$B$4,"Date outside tax year. ",IF(A126&gt;TODAY(),"Date is in the future. ","")))))</f>
        <v/>
      </c>
      <c r="L126" s="15" t="str">
        <f aca="false">IF(NOT(COUNTA($A126:$H126)&gt;0),"",IF(E126="","Missing amount. ",IF(NOT(ISNUMBER(E126)),"Amount is not a number. ",IF(E126&lt;=0,"Amount must be above zero. ",""))))</f>
        <v/>
      </c>
      <c r="M126" s="15" t="str">
        <f aca="false">IF(NOT(COUNTA($A126:$H126)&gt;0),"",IF(D126="","Missing category. ",IF(COUNTIF(Settings!$B$11:$B$40,D126)=0,"Category not in your list. ","")))</f>
        <v/>
      </c>
      <c r="N126" s="15" t="str">
        <f aca="false">IF(AND(ISNUMBER(A126),ISNUMBER(E126),B126&lt;&gt;""),IF(COUNTIFS($A$6:$A$505,A126,$B$6:$B$505,B126,$E$6:$E$505,E126)&gt;1,"Possible duplicate. ",""),"")</f>
        <v/>
      </c>
      <c r="O126" s="15" t="str">
        <f aca="false">IF(AND(ISNUMBER(E126),E126&gt;=Settings!$B$6,G126&lt;&gt;"Yes"),"Receipt not marked as saved. ","")</f>
        <v/>
      </c>
      <c r="P126" s="15" t="str">
        <f aca="false">IF(AND(ISNUMBER(E126),E126&gt;=Settings!$B$5),"Large amount: review. ","")</f>
        <v/>
      </c>
    </row>
    <row r="127" customFormat="false" ht="15" hidden="false" customHeight="false" outlineLevel="0" collapsed="false">
      <c r="A127" s="10"/>
      <c r="B127" s="11"/>
      <c r="C127" s="11"/>
      <c r="D127" s="11"/>
      <c r="E127" s="12"/>
      <c r="F127" s="11"/>
      <c r="G127" s="11"/>
      <c r="H127" s="11"/>
      <c r="I127" s="13" t="str">
        <f aca="false">IF(NOT(COUNTA($A127:$H127)&gt;0),"",IF(K127&amp;L127&amp;M127&lt;&gt;"","ERROR",IF(N127&amp;O127&amp;P127&lt;&gt;"","CHECK","OK")))</f>
        <v/>
      </c>
      <c r="J127" s="14" t="str">
        <f aca="false">TRIM(K127&amp;L127&amp;M127&amp;N127&amp;O127&amp;P127)</f>
        <v/>
      </c>
      <c r="K127" s="15" t="str">
        <f aca="true">IF(NOT(COUNTA($A127:$H127)&gt;0),"",IF(A127="","Missing date. ",IF(NOT(ISNUMBER(A127)),"Date is not a real date. ",IF(YEAR(A127)&lt;&gt;Settings!$B$4,"Date outside tax year. ",IF(A127&gt;TODAY(),"Date is in the future. ","")))))</f>
        <v/>
      </c>
      <c r="L127" s="15" t="str">
        <f aca="false">IF(NOT(COUNTA($A127:$H127)&gt;0),"",IF(E127="","Missing amount. ",IF(NOT(ISNUMBER(E127)),"Amount is not a number. ",IF(E127&lt;=0,"Amount must be above zero. ",""))))</f>
        <v/>
      </c>
      <c r="M127" s="15" t="str">
        <f aca="false">IF(NOT(COUNTA($A127:$H127)&gt;0),"",IF(D127="","Missing category. ",IF(COUNTIF(Settings!$B$11:$B$40,D127)=0,"Category not in your list. ","")))</f>
        <v/>
      </c>
      <c r="N127" s="15" t="str">
        <f aca="false">IF(AND(ISNUMBER(A127),ISNUMBER(E127),B127&lt;&gt;""),IF(COUNTIFS($A$6:$A$505,A127,$B$6:$B$505,B127,$E$6:$E$505,E127)&gt;1,"Possible duplicate. ",""),"")</f>
        <v/>
      </c>
      <c r="O127" s="15" t="str">
        <f aca="false">IF(AND(ISNUMBER(E127),E127&gt;=Settings!$B$6,G127&lt;&gt;"Yes"),"Receipt not marked as saved. ","")</f>
        <v/>
      </c>
      <c r="P127" s="15" t="str">
        <f aca="false">IF(AND(ISNUMBER(E127),E127&gt;=Settings!$B$5),"Large amount: review. ","")</f>
        <v/>
      </c>
    </row>
    <row r="128" customFormat="false" ht="15" hidden="false" customHeight="false" outlineLevel="0" collapsed="false">
      <c r="A128" s="10"/>
      <c r="B128" s="11"/>
      <c r="C128" s="11"/>
      <c r="D128" s="11"/>
      <c r="E128" s="12"/>
      <c r="F128" s="11"/>
      <c r="G128" s="11"/>
      <c r="H128" s="11"/>
      <c r="I128" s="13" t="str">
        <f aca="false">IF(NOT(COUNTA($A128:$H128)&gt;0),"",IF(K128&amp;L128&amp;M128&lt;&gt;"","ERROR",IF(N128&amp;O128&amp;P128&lt;&gt;"","CHECK","OK")))</f>
        <v/>
      </c>
      <c r="J128" s="14" t="str">
        <f aca="false">TRIM(K128&amp;L128&amp;M128&amp;N128&amp;O128&amp;P128)</f>
        <v/>
      </c>
      <c r="K128" s="15" t="str">
        <f aca="true">IF(NOT(COUNTA($A128:$H128)&gt;0),"",IF(A128="","Missing date. ",IF(NOT(ISNUMBER(A128)),"Date is not a real date. ",IF(YEAR(A128)&lt;&gt;Settings!$B$4,"Date outside tax year. ",IF(A128&gt;TODAY(),"Date is in the future. ","")))))</f>
        <v/>
      </c>
      <c r="L128" s="15" t="str">
        <f aca="false">IF(NOT(COUNTA($A128:$H128)&gt;0),"",IF(E128="","Missing amount. ",IF(NOT(ISNUMBER(E128)),"Amount is not a number. ",IF(E128&lt;=0,"Amount must be above zero. ",""))))</f>
        <v/>
      </c>
      <c r="M128" s="15" t="str">
        <f aca="false">IF(NOT(COUNTA($A128:$H128)&gt;0),"",IF(D128="","Missing category. ",IF(COUNTIF(Settings!$B$11:$B$40,D128)=0,"Category not in your list. ","")))</f>
        <v/>
      </c>
      <c r="N128" s="15" t="str">
        <f aca="false">IF(AND(ISNUMBER(A128),ISNUMBER(E128),B128&lt;&gt;""),IF(COUNTIFS($A$6:$A$505,A128,$B$6:$B$505,B128,$E$6:$E$505,E128)&gt;1,"Possible duplicate. ",""),"")</f>
        <v/>
      </c>
      <c r="O128" s="15" t="str">
        <f aca="false">IF(AND(ISNUMBER(E128),E128&gt;=Settings!$B$6,G128&lt;&gt;"Yes"),"Receipt not marked as saved. ","")</f>
        <v/>
      </c>
      <c r="P128" s="15" t="str">
        <f aca="false">IF(AND(ISNUMBER(E128),E128&gt;=Settings!$B$5),"Large amount: review. ","")</f>
        <v/>
      </c>
    </row>
    <row r="129" customFormat="false" ht="15" hidden="false" customHeight="false" outlineLevel="0" collapsed="false">
      <c r="A129" s="10"/>
      <c r="B129" s="11"/>
      <c r="C129" s="11"/>
      <c r="D129" s="11"/>
      <c r="E129" s="12"/>
      <c r="F129" s="11"/>
      <c r="G129" s="11"/>
      <c r="H129" s="11"/>
      <c r="I129" s="13" t="str">
        <f aca="false">IF(NOT(COUNTA($A129:$H129)&gt;0),"",IF(K129&amp;L129&amp;M129&lt;&gt;"","ERROR",IF(N129&amp;O129&amp;P129&lt;&gt;"","CHECK","OK")))</f>
        <v/>
      </c>
      <c r="J129" s="14" t="str">
        <f aca="false">TRIM(K129&amp;L129&amp;M129&amp;N129&amp;O129&amp;P129)</f>
        <v/>
      </c>
      <c r="K129" s="15" t="str">
        <f aca="true">IF(NOT(COUNTA($A129:$H129)&gt;0),"",IF(A129="","Missing date. ",IF(NOT(ISNUMBER(A129)),"Date is not a real date. ",IF(YEAR(A129)&lt;&gt;Settings!$B$4,"Date outside tax year. ",IF(A129&gt;TODAY(),"Date is in the future. ","")))))</f>
        <v/>
      </c>
      <c r="L129" s="15" t="str">
        <f aca="false">IF(NOT(COUNTA($A129:$H129)&gt;0),"",IF(E129="","Missing amount. ",IF(NOT(ISNUMBER(E129)),"Amount is not a number. ",IF(E129&lt;=0,"Amount must be above zero. ",""))))</f>
        <v/>
      </c>
      <c r="M129" s="15" t="str">
        <f aca="false">IF(NOT(COUNTA($A129:$H129)&gt;0),"",IF(D129="","Missing category. ",IF(COUNTIF(Settings!$B$11:$B$40,D129)=0,"Category not in your list. ","")))</f>
        <v/>
      </c>
      <c r="N129" s="15" t="str">
        <f aca="false">IF(AND(ISNUMBER(A129),ISNUMBER(E129),B129&lt;&gt;""),IF(COUNTIFS($A$6:$A$505,A129,$B$6:$B$505,B129,$E$6:$E$505,E129)&gt;1,"Possible duplicate. ",""),"")</f>
        <v/>
      </c>
      <c r="O129" s="15" t="str">
        <f aca="false">IF(AND(ISNUMBER(E129),E129&gt;=Settings!$B$6,G129&lt;&gt;"Yes"),"Receipt not marked as saved. ","")</f>
        <v/>
      </c>
      <c r="P129" s="15" t="str">
        <f aca="false">IF(AND(ISNUMBER(E129),E129&gt;=Settings!$B$5),"Large amount: review. ","")</f>
        <v/>
      </c>
    </row>
    <row r="130" customFormat="false" ht="15" hidden="false" customHeight="false" outlineLevel="0" collapsed="false">
      <c r="A130" s="10"/>
      <c r="B130" s="11"/>
      <c r="C130" s="11"/>
      <c r="D130" s="11"/>
      <c r="E130" s="12"/>
      <c r="F130" s="11"/>
      <c r="G130" s="11"/>
      <c r="H130" s="11"/>
      <c r="I130" s="13" t="str">
        <f aca="false">IF(NOT(COUNTA($A130:$H130)&gt;0),"",IF(K130&amp;L130&amp;M130&lt;&gt;"","ERROR",IF(N130&amp;O130&amp;P130&lt;&gt;"","CHECK","OK")))</f>
        <v/>
      </c>
      <c r="J130" s="14" t="str">
        <f aca="false">TRIM(K130&amp;L130&amp;M130&amp;N130&amp;O130&amp;P130)</f>
        <v/>
      </c>
      <c r="K130" s="15" t="str">
        <f aca="true">IF(NOT(COUNTA($A130:$H130)&gt;0),"",IF(A130="","Missing date. ",IF(NOT(ISNUMBER(A130)),"Date is not a real date. ",IF(YEAR(A130)&lt;&gt;Settings!$B$4,"Date outside tax year. ",IF(A130&gt;TODAY(),"Date is in the future. ","")))))</f>
        <v/>
      </c>
      <c r="L130" s="15" t="str">
        <f aca="false">IF(NOT(COUNTA($A130:$H130)&gt;0),"",IF(E130="","Missing amount. ",IF(NOT(ISNUMBER(E130)),"Amount is not a number. ",IF(E130&lt;=0,"Amount must be above zero. ",""))))</f>
        <v/>
      </c>
      <c r="M130" s="15" t="str">
        <f aca="false">IF(NOT(COUNTA($A130:$H130)&gt;0),"",IF(D130="","Missing category. ",IF(COUNTIF(Settings!$B$11:$B$40,D130)=0,"Category not in your list. ","")))</f>
        <v/>
      </c>
      <c r="N130" s="15" t="str">
        <f aca="false">IF(AND(ISNUMBER(A130),ISNUMBER(E130),B130&lt;&gt;""),IF(COUNTIFS($A$6:$A$505,A130,$B$6:$B$505,B130,$E$6:$E$505,E130)&gt;1,"Possible duplicate. ",""),"")</f>
        <v/>
      </c>
      <c r="O130" s="15" t="str">
        <f aca="false">IF(AND(ISNUMBER(E130),E130&gt;=Settings!$B$6,G130&lt;&gt;"Yes"),"Receipt not marked as saved. ","")</f>
        <v/>
      </c>
      <c r="P130" s="15" t="str">
        <f aca="false">IF(AND(ISNUMBER(E130),E130&gt;=Settings!$B$5),"Large amount: review. ","")</f>
        <v/>
      </c>
    </row>
    <row r="131" customFormat="false" ht="15" hidden="false" customHeight="false" outlineLevel="0" collapsed="false">
      <c r="A131" s="10"/>
      <c r="B131" s="11"/>
      <c r="C131" s="11"/>
      <c r="D131" s="11"/>
      <c r="E131" s="12"/>
      <c r="F131" s="11"/>
      <c r="G131" s="11"/>
      <c r="H131" s="11"/>
      <c r="I131" s="13" t="str">
        <f aca="false">IF(NOT(COUNTA($A131:$H131)&gt;0),"",IF(K131&amp;L131&amp;M131&lt;&gt;"","ERROR",IF(N131&amp;O131&amp;P131&lt;&gt;"","CHECK","OK")))</f>
        <v/>
      </c>
      <c r="J131" s="14" t="str">
        <f aca="false">TRIM(K131&amp;L131&amp;M131&amp;N131&amp;O131&amp;P131)</f>
        <v/>
      </c>
      <c r="K131" s="15" t="str">
        <f aca="true">IF(NOT(COUNTA($A131:$H131)&gt;0),"",IF(A131="","Missing date. ",IF(NOT(ISNUMBER(A131)),"Date is not a real date. ",IF(YEAR(A131)&lt;&gt;Settings!$B$4,"Date outside tax year. ",IF(A131&gt;TODAY(),"Date is in the future. ","")))))</f>
        <v/>
      </c>
      <c r="L131" s="15" t="str">
        <f aca="false">IF(NOT(COUNTA($A131:$H131)&gt;0),"",IF(E131="","Missing amount. ",IF(NOT(ISNUMBER(E131)),"Amount is not a number. ",IF(E131&lt;=0,"Amount must be above zero. ",""))))</f>
        <v/>
      </c>
      <c r="M131" s="15" t="str">
        <f aca="false">IF(NOT(COUNTA($A131:$H131)&gt;0),"",IF(D131="","Missing category. ",IF(COUNTIF(Settings!$B$11:$B$40,D131)=0,"Category not in your list. ","")))</f>
        <v/>
      </c>
      <c r="N131" s="15" t="str">
        <f aca="false">IF(AND(ISNUMBER(A131),ISNUMBER(E131),B131&lt;&gt;""),IF(COUNTIFS($A$6:$A$505,A131,$B$6:$B$505,B131,$E$6:$E$505,E131)&gt;1,"Possible duplicate. ",""),"")</f>
        <v/>
      </c>
      <c r="O131" s="15" t="str">
        <f aca="false">IF(AND(ISNUMBER(E131),E131&gt;=Settings!$B$6,G131&lt;&gt;"Yes"),"Receipt not marked as saved. ","")</f>
        <v/>
      </c>
      <c r="P131" s="15" t="str">
        <f aca="false">IF(AND(ISNUMBER(E131),E131&gt;=Settings!$B$5),"Large amount: review. ","")</f>
        <v/>
      </c>
    </row>
    <row r="132" customFormat="false" ht="15" hidden="false" customHeight="false" outlineLevel="0" collapsed="false">
      <c r="A132" s="10"/>
      <c r="B132" s="11"/>
      <c r="C132" s="11"/>
      <c r="D132" s="11"/>
      <c r="E132" s="12"/>
      <c r="F132" s="11"/>
      <c r="G132" s="11"/>
      <c r="H132" s="11"/>
      <c r="I132" s="13" t="str">
        <f aca="false">IF(NOT(COUNTA($A132:$H132)&gt;0),"",IF(K132&amp;L132&amp;M132&lt;&gt;"","ERROR",IF(N132&amp;O132&amp;P132&lt;&gt;"","CHECK","OK")))</f>
        <v/>
      </c>
      <c r="J132" s="14" t="str">
        <f aca="false">TRIM(K132&amp;L132&amp;M132&amp;N132&amp;O132&amp;P132)</f>
        <v/>
      </c>
      <c r="K132" s="15" t="str">
        <f aca="true">IF(NOT(COUNTA($A132:$H132)&gt;0),"",IF(A132="","Missing date. ",IF(NOT(ISNUMBER(A132)),"Date is not a real date. ",IF(YEAR(A132)&lt;&gt;Settings!$B$4,"Date outside tax year. ",IF(A132&gt;TODAY(),"Date is in the future. ","")))))</f>
        <v/>
      </c>
      <c r="L132" s="15" t="str">
        <f aca="false">IF(NOT(COUNTA($A132:$H132)&gt;0),"",IF(E132="","Missing amount. ",IF(NOT(ISNUMBER(E132)),"Amount is not a number. ",IF(E132&lt;=0,"Amount must be above zero. ",""))))</f>
        <v/>
      </c>
      <c r="M132" s="15" t="str">
        <f aca="false">IF(NOT(COUNTA($A132:$H132)&gt;0),"",IF(D132="","Missing category. ",IF(COUNTIF(Settings!$B$11:$B$40,D132)=0,"Category not in your list. ","")))</f>
        <v/>
      </c>
      <c r="N132" s="15" t="str">
        <f aca="false">IF(AND(ISNUMBER(A132),ISNUMBER(E132),B132&lt;&gt;""),IF(COUNTIFS($A$6:$A$505,A132,$B$6:$B$505,B132,$E$6:$E$505,E132)&gt;1,"Possible duplicate. ",""),"")</f>
        <v/>
      </c>
      <c r="O132" s="15" t="str">
        <f aca="false">IF(AND(ISNUMBER(E132),E132&gt;=Settings!$B$6,G132&lt;&gt;"Yes"),"Receipt not marked as saved. ","")</f>
        <v/>
      </c>
      <c r="P132" s="15" t="str">
        <f aca="false">IF(AND(ISNUMBER(E132),E132&gt;=Settings!$B$5),"Large amount: review. ","")</f>
        <v/>
      </c>
    </row>
    <row r="133" customFormat="false" ht="15" hidden="false" customHeight="false" outlineLevel="0" collapsed="false">
      <c r="A133" s="10"/>
      <c r="B133" s="11"/>
      <c r="C133" s="11"/>
      <c r="D133" s="11"/>
      <c r="E133" s="12"/>
      <c r="F133" s="11"/>
      <c r="G133" s="11"/>
      <c r="H133" s="11"/>
      <c r="I133" s="13" t="str">
        <f aca="false">IF(NOT(COUNTA($A133:$H133)&gt;0),"",IF(K133&amp;L133&amp;M133&lt;&gt;"","ERROR",IF(N133&amp;O133&amp;P133&lt;&gt;"","CHECK","OK")))</f>
        <v/>
      </c>
      <c r="J133" s="14" t="str">
        <f aca="false">TRIM(K133&amp;L133&amp;M133&amp;N133&amp;O133&amp;P133)</f>
        <v/>
      </c>
      <c r="K133" s="15" t="str">
        <f aca="true">IF(NOT(COUNTA($A133:$H133)&gt;0),"",IF(A133="","Missing date. ",IF(NOT(ISNUMBER(A133)),"Date is not a real date. ",IF(YEAR(A133)&lt;&gt;Settings!$B$4,"Date outside tax year. ",IF(A133&gt;TODAY(),"Date is in the future. ","")))))</f>
        <v/>
      </c>
      <c r="L133" s="15" t="str">
        <f aca="false">IF(NOT(COUNTA($A133:$H133)&gt;0),"",IF(E133="","Missing amount. ",IF(NOT(ISNUMBER(E133)),"Amount is not a number. ",IF(E133&lt;=0,"Amount must be above zero. ",""))))</f>
        <v/>
      </c>
      <c r="M133" s="15" t="str">
        <f aca="false">IF(NOT(COUNTA($A133:$H133)&gt;0),"",IF(D133="","Missing category. ",IF(COUNTIF(Settings!$B$11:$B$40,D133)=0,"Category not in your list. ","")))</f>
        <v/>
      </c>
      <c r="N133" s="15" t="str">
        <f aca="false">IF(AND(ISNUMBER(A133),ISNUMBER(E133),B133&lt;&gt;""),IF(COUNTIFS($A$6:$A$505,A133,$B$6:$B$505,B133,$E$6:$E$505,E133)&gt;1,"Possible duplicate. ",""),"")</f>
        <v/>
      </c>
      <c r="O133" s="15" t="str">
        <f aca="false">IF(AND(ISNUMBER(E133),E133&gt;=Settings!$B$6,G133&lt;&gt;"Yes"),"Receipt not marked as saved. ","")</f>
        <v/>
      </c>
      <c r="P133" s="15" t="str">
        <f aca="false">IF(AND(ISNUMBER(E133),E133&gt;=Settings!$B$5),"Large amount: review. ","")</f>
        <v/>
      </c>
    </row>
    <row r="134" customFormat="false" ht="15" hidden="false" customHeight="false" outlineLevel="0" collapsed="false">
      <c r="A134" s="10"/>
      <c r="B134" s="11"/>
      <c r="C134" s="11"/>
      <c r="D134" s="11"/>
      <c r="E134" s="12"/>
      <c r="F134" s="11"/>
      <c r="G134" s="11"/>
      <c r="H134" s="11"/>
      <c r="I134" s="13" t="str">
        <f aca="false">IF(NOT(COUNTA($A134:$H134)&gt;0),"",IF(K134&amp;L134&amp;M134&lt;&gt;"","ERROR",IF(N134&amp;O134&amp;P134&lt;&gt;"","CHECK","OK")))</f>
        <v/>
      </c>
      <c r="J134" s="14" t="str">
        <f aca="false">TRIM(K134&amp;L134&amp;M134&amp;N134&amp;O134&amp;P134)</f>
        <v/>
      </c>
      <c r="K134" s="15" t="str">
        <f aca="true">IF(NOT(COUNTA($A134:$H134)&gt;0),"",IF(A134="","Missing date. ",IF(NOT(ISNUMBER(A134)),"Date is not a real date. ",IF(YEAR(A134)&lt;&gt;Settings!$B$4,"Date outside tax year. ",IF(A134&gt;TODAY(),"Date is in the future. ","")))))</f>
        <v/>
      </c>
      <c r="L134" s="15" t="str">
        <f aca="false">IF(NOT(COUNTA($A134:$H134)&gt;0),"",IF(E134="","Missing amount. ",IF(NOT(ISNUMBER(E134)),"Amount is not a number. ",IF(E134&lt;=0,"Amount must be above zero. ",""))))</f>
        <v/>
      </c>
      <c r="M134" s="15" t="str">
        <f aca="false">IF(NOT(COUNTA($A134:$H134)&gt;0),"",IF(D134="","Missing category. ",IF(COUNTIF(Settings!$B$11:$B$40,D134)=0,"Category not in your list. ","")))</f>
        <v/>
      </c>
      <c r="N134" s="15" t="str">
        <f aca="false">IF(AND(ISNUMBER(A134),ISNUMBER(E134),B134&lt;&gt;""),IF(COUNTIFS($A$6:$A$505,A134,$B$6:$B$505,B134,$E$6:$E$505,E134)&gt;1,"Possible duplicate. ",""),"")</f>
        <v/>
      </c>
      <c r="O134" s="15" t="str">
        <f aca="false">IF(AND(ISNUMBER(E134),E134&gt;=Settings!$B$6,G134&lt;&gt;"Yes"),"Receipt not marked as saved. ","")</f>
        <v/>
      </c>
      <c r="P134" s="15" t="str">
        <f aca="false">IF(AND(ISNUMBER(E134),E134&gt;=Settings!$B$5),"Large amount: review. ","")</f>
        <v/>
      </c>
    </row>
    <row r="135" customFormat="false" ht="15" hidden="false" customHeight="false" outlineLevel="0" collapsed="false">
      <c r="A135" s="10"/>
      <c r="B135" s="11"/>
      <c r="C135" s="11"/>
      <c r="D135" s="11"/>
      <c r="E135" s="12"/>
      <c r="F135" s="11"/>
      <c r="G135" s="11"/>
      <c r="H135" s="11"/>
      <c r="I135" s="13" t="str">
        <f aca="false">IF(NOT(COUNTA($A135:$H135)&gt;0),"",IF(K135&amp;L135&amp;M135&lt;&gt;"","ERROR",IF(N135&amp;O135&amp;P135&lt;&gt;"","CHECK","OK")))</f>
        <v/>
      </c>
      <c r="J135" s="14" t="str">
        <f aca="false">TRIM(K135&amp;L135&amp;M135&amp;N135&amp;O135&amp;P135)</f>
        <v/>
      </c>
      <c r="K135" s="15" t="str">
        <f aca="true">IF(NOT(COUNTA($A135:$H135)&gt;0),"",IF(A135="","Missing date. ",IF(NOT(ISNUMBER(A135)),"Date is not a real date. ",IF(YEAR(A135)&lt;&gt;Settings!$B$4,"Date outside tax year. ",IF(A135&gt;TODAY(),"Date is in the future. ","")))))</f>
        <v/>
      </c>
      <c r="L135" s="15" t="str">
        <f aca="false">IF(NOT(COUNTA($A135:$H135)&gt;0),"",IF(E135="","Missing amount. ",IF(NOT(ISNUMBER(E135)),"Amount is not a number. ",IF(E135&lt;=0,"Amount must be above zero. ",""))))</f>
        <v/>
      </c>
      <c r="M135" s="15" t="str">
        <f aca="false">IF(NOT(COUNTA($A135:$H135)&gt;0),"",IF(D135="","Missing category. ",IF(COUNTIF(Settings!$B$11:$B$40,D135)=0,"Category not in your list. ","")))</f>
        <v/>
      </c>
      <c r="N135" s="15" t="str">
        <f aca="false">IF(AND(ISNUMBER(A135),ISNUMBER(E135),B135&lt;&gt;""),IF(COUNTIFS($A$6:$A$505,A135,$B$6:$B$505,B135,$E$6:$E$505,E135)&gt;1,"Possible duplicate. ",""),"")</f>
        <v/>
      </c>
      <c r="O135" s="15" t="str">
        <f aca="false">IF(AND(ISNUMBER(E135),E135&gt;=Settings!$B$6,G135&lt;&gt;"Yes"),"Receipt not marked as saved. ","")</f>
        <v/>
      </c>
      <c r="P135" s="15" t="str">
        <f aca="false">IF(AND(ISNUMBER(E135),E135&gt;=Settings!$B$5),"Large amount: review. ","")</f>
        <v/>
      </c>
    </row>
    <row r="136" customFormat="false" ht="15" hidden="false" customHeight="false" outlineLevel="0" collapsed="false">
      <c r="A136" s="10"/>
      <c r="B136" s="11"/>
      <c r="C136" s="11"/>
      <c r="D136" s="11"/>
      <c r="E136" s="12"/>
      <c r="F136" s="11"/>
      <c r="G136" s="11"/>
      <c r="H136" s="11"/>
      <c r="I136" s="13" t="str">
        <f aca="false">IF(NOT(COUNTA($A136:$H136)&gt;0),"",IF(K136&amp;L136&amp;M136&lt;&gt;"","ERROR",IF(N136&amp;O136&amp;P136&lt;&gt;"","CHECK","OK")))</f>
        <v/>
      </c>
      <c r="J136" s="14" t="str">
        <f aca="false">TRIM(K136&amp;L136&amp;M136&amp;N136&amp;O136&amp;P136)</f>
        <v/>
      </c>
      <c r="K136" s="15" t="str">
        <f aca="true">IF(NOT(COUNTA($A136:$H136)&gt;0),"",IF(A136="","Missing date. ",IF(NOT(ISNUMBER(A136)),"Date is not a real date. ",IF(YEAR(A136)&lt;&gt;Settings!$B$4,"Date outside tax year. ",IF(A136&gt;TODAY(),"Date is in the future. ","")))))</f>
        <v/>
      </c>
      <c r="L136" s="15" t="str">
        <f aca="false">IF(NOT(COUNTA($A136:$H136)&gt;0),"",IF(E136="","Missing amount. ",IF(NOT(ISNUMBER(E136)),"Amount is not a number. ",IF(E136&lt;=0,"Amount must be above zero. ",""))))</f>
        <v/>
      </c>
      <c r="M136" s="15" t="str">
        <f aca="false">IF(NOT(COUNTA($A136:$H136)&gt;0),"",IF(D136="","Missing category. ",IF(COUNTIF(Settings!$B$11:$B$40,D136)=0,"Category not in your list. ","")))</f>
        <v/>
      </c>
      <c r="N136" s="15" t="str">
        <f aca="false">IF(AND(ISNUMBER(A136),ISNUMBER(E136),B136&lt;&gt;""),IF(COUNTIFS($A$6:$A$505,A136,$B$6:$B$505,B136,$E$6:$E$505,E136)&gt;1,"Possible duplicate. ",""),"")</f>
        <v/>
      </c>
      <c r="O136" s="15" t="str">
        <f aca="false">IF(AND(ISNUMBER(E136),E136&gt;=Settings!$B$6,G136&lt;&gt;"Yes"),"Receipt not marked as saved. ","")</f>
        <v/>
      </c>
      <c r="P136" s="15" t="str">
        <f aca="false">IF(AND(ISNUMBER(E136),E136&gt;=Settings!$B$5),"Large amount: review. ","")</f>
        <v/>
      </c>
    </row>
    <row r="137" customFormat="false" ht="15" hidden="false" customHeight="false" outlineLevel="0" collapsed="false">
      <c r="A137" s="10"/>
      <c r="B137" s="11"/>
      <c r="C137" s="11"/>
      <c r="D137" s="11"/>
      <c r="E137" s="12"/>
      <c r="F137" s="11"/>
      <c r="G137" s="11"/>
      <c r="H137" s="11"/>
      <c r="I137" s="13" t="str">
        <f aca="false">IF(NOT(COUNTA($A137:$H137)&gt;0),"",IF(K137&amp;L137&amp;M137&lt;&gt;"","ERROR",IF(N137&amp;O137&amp;P137&lt;&gt;"","CHECK","OK")))</f>
        <v/>
      </c>
      <c r="J137" s="14" t="str">
        <f aca="false">TRIM(K137&amp;L137&amp;M137&amp;N137&amp;O137&amp;P137)</f>
        <v/>
      </c>
      <c r="K137" s="15" t="str">
        <f aca="true">IF(NOT(COUNTA($A137:$H137)&gt;0),"",IF(A137="","Missing date. ",IF(NOT(ISNUMBER(A137)),"Date is not a real date. ",IF(YEAR(A137)&lt;&gt;Settings!$B$4,"Date outside tax year. ",IF(A137&gt;TODAY(),"Date is in the future. ","")))))</f>
        <v/>
      </c>
      <c r="L137" s="15" t="str">
        <f aca="false">IF(NOT(COUNTA($A137:$H137)&gt;0),"",IF(E137="","Missing amount. ",IF(NOT(ISNUMBER(E137)),"Amount is not a number. ",IF(E137&lt;=0,"Amount must be above zero. ",""))))</f>
        <v/>
      </c>
      <c r="M137" s="15" t="str">
        <f aca="false">IF(NOT(COUNTA($A137:$H137)&gt;0),"",IF(D137="","Missing category. ",IF(COUNTIF(Settings!$B$11:$B$40,D137)=0,"Category not in your list. ","")))</f>
        <v/>
      </c>
      <c r="N137" s="15" t="str">
        <f aca="false">IF(AND(ISNUMBER(A137),ISNUMBER(E137),B137&lt;&gt;""),IF(COUNTIFS($A$6:$A$505,A137,$B$6:$B$505,B137,$E$6:$E$505,E137)&gt;1,"Possible duplicate. ",""),"")</f>
        <v/>
      </c>
      <c r="O137" s="15" t="str">
        <f aca="false">IF(AND(ISNUMBER(E137),E137&gt;=Settings!$B$6,G137&lt;&gt;"Yes"),"Receipt not marked as saved. ","")</f>
        <v/>
      </c>
      <c r="P137" s="15" t="str">
        <f aca="false">IF(AND(ISNUMBER(E137),E137&gt;=Settings!$B$5),"Large amount: review. ","")</f>
        <v/>
      </c>
    </row>
    <row r="138" customFormat="false" ht="15" hidden="false" customHeight="false" outlineLevel="0" collapsed="false">
      <c r="A138" s="10"/>
      <c r="B138" s="11"/>
      <c r="C138" s="11"/>
      <c r="D138" s="11"/>
      <c r="E138" s="12"/>
      <c r="F138" s="11"/>
      <c r="G138" s="11"/>
      <c r="H138" s="11"/>
      <c r="I138" s="13" t="str">
        <f aca="false">IF(NOT(COUNTA($A138:$H138)&gt;0),"",IF(K138&amp;L138&amp;M138&lt;&gt;"","ERROR",IF(N138&amp;O138&amp;P138&lt;&gt;"","CHECK","OK")))</f>
        <v/>
      </c>
      <c r="J138" s="14" t="str">
        <f aca="false">TRIM(K138&amp;L138&amp;M138&amp;N138&amp;O138&amp;P138)</f>
        <v/>
      </c>
      <c r="K138" s="15" t="str">
        <f aca="true">IF(NOT(COUNTA($A138:$H138)&gt;0),"",IF(A138="","Missing date. ",IF(NOT(ISNUMBER(A138)),"Date is not a real date. ",IF(YEAR(A138)&lt;&gt;Settings!$B$4,"Date outside tax year. ",IF(A138&gt;TODAY(),"Date is in the future. ","")))))</f>
        <v/>
      </c>
      <c r="L138" s="15" t="str">
        <f aca="false">IF(NOT(COUNTA($A138:$H138)&gt;0),"",IF(E138="","Missing amount. ",IF(NOT(ISNUMBER(E138)),"Amount is not a number. ",IF(E138&lt;=0,"Amount must be above zero. ",""))))</f>
        <v/>
      </c>
      <c r="M138" s="15" t="str">
        <f aca="false">IF(NOT(COUNTA($A138:$H138)&gt;0),"",IF(D138="","Missing category. ",IF(COUNTIF(Settings!$B$11:$B$40,D138)=0,"Category not in your list. ","")))</f>
        <v/>
      </c>
      <c r="N138" s="15" t="str">
        <f aca="false">IF(AND(ISNUMBER(A138),ISNUMBER(E138),B138&lt;&gt;""),IF(COUNTIFS($A$6:$A$505,A138,$B$6:$B$505,B138,$E$6:$E$505,E138)&gt;1,"Possible duplicate. ",""),"")</f>
        <v/>
      </c>
      <c r="O138" s="15" t="str">
        <f aca="false">IF(AND(ISNUMBER(E138),E138&gt;=Settings!$B$6,G138&lt;&gt;"Yes"),"Receipt not marked as saved. ","")</f>
        <v/>
      </c>
      <c r="P138" s="15" t="str">
        <f aca="false">IF(AND(ISNUMBER(E138),E138&gt;=Settings!$B$5),"Large amount: review. ","")</f>
        <v/>
      </c>
    </row>
    <row r="139" customFormat="false" ht="15" hidden="false" customHeight="false" outlineLevel="0" collapsed="false">
      <c r="A139" s="10"/>
      <c r="B139" s="11"/>
      <c r="C139" s="11"/>
      <c r="D139" s="11"/>
      <c r="E139" s="12"/>
      <c r="F139" s="11"/>
      <c r="G139" s="11"/>
      <c r="H139" s="11"/>
      <c r="I139" s="13" t="str">
        <f aca="false">IF(NOT(COUNTA($A139:$H139)&gt;0),"",IF(K139&amp;L139&amp;M139&lt;&gt;"","ERROR",IF(N139&amp;O139&amp;P139&lt;&gt;"","CHECK","OK")))</f>
        <v/>
      </c>
      <c r="J139" s="14" t="str">
        <f aca="false">TRIM(K139&amp;L139&amp;M139&amp;N139&amp;O139&amp;P139)</f>
        <v/>
      </c>
      <c r="K139" s="15" t="str">
        <f aca="true">IF(NOT(COUNTA($A139:$H139)&gt;0),"",IF(A139="","Missing date. ",IF(NOT(ISNUMBER(A139)),"Date is not a real date. ",IF(YEAR(A139)&lt;&gt;Settings!$B$4,"Date outside tax year. ",IF(A139&gt;TODAY(),"Date is in the future. ","")))))</f>
        <v/>
      </c>
      <c r="L139" s="15" t="str">
        <f aca="false">IF(NOT(COUNTA($A139:$H139)&gt;0),"",IF(E139="","Missing amount. ",IF(NOT(ISNUMBER(E139)),"Amount is not a number. ",IF(E139&lt;=0,"Amount must be above zero. ",""))))</f>
        <v/>
      </c>
      <c r="M139" s="15" t="str">
        <f aca="false">IF(NOT(COUNTA($A139:$H139)&gt;0),"",IF(D139="","Missing category. ",IF(COUNTIF(Settings!$B$11:$B$40,D139)=0,"Category not in your list. ","")))</f>
        <v/>
      </c>
      <c r="N139" s="15" t="str">
        <f aca="false">IF(AND(ISNUMBER(A139),ISNUMBER(E139),B139&lt;&gt;""),IF(COUNTIFS($A$6:$A$505,A139,$B$6:$B$505,B139,$E$6:$E$505,E139)&gt;1,"Possible duplicate. ",""),"")</f>
        <v/>
      </c>
      <c r="O139" s="15" t="str">
        <f aca="false">IF(AND(ISNUMBER(E139),E139&gt;=Settings!$B$6,G139&lt;&gt;"Yes"),"Receipt not marked as saved. ","")</f>
        <v/>
      </c>
      <c r="P139" s="15" t="str">
        <f aca="false">IF(AND(ISNUMBER(E139),E139&gt;=Settings!$B$5),"Large amount: review. ","")</f>
        <v/>
      </c>
    </row>
    <row r="140" customFormat="false" ht="15" hidden="false" customHeight="false" outlineLevel="0" collapsed="false">
      <c r="A140" s="10"/>
      <c r="B140" s="11"/>
      <c r="C140" s="11"/>
      <c r="D140" s="11"/>
      <c r="E140" s="12"/>
      <c r="F140" s="11"/>
      <c r="G140" s="11"/>
      <c r="H140" s="11"/>
      <c r="I140" s="13" t="str">
        <f aca="false">IF(NOT(COUNTA($A140:$H140)&gt;0),"",IF(K140&amp;L140&amp;M140&lt;&gt;"","ERROR",IF(N140&amp;O140&amp;P140&lt;&gt;"","CHECK","OK")))</f>
        <v/>
      </c>
      <c r="J140" s="14" t="str">
        <f aca="false">TRIM(K140&amp;L140&amp;M140&amp;N140&amp;O140&amp;P140)</f>
        <v/>
      </c>
      <c r="K140" s="15" t="str">
        <f aca="true">IF(NOT(COUNTA($A140:$H140)&gt;0),"",IF(A140="","Missing date. ",IF(NOT(ISNUMBER(A140)),"Date is not a real date. ",IF(YEAR(A140)&lt;&gt;Settings!$B$4,"Date outside tax year. ",IF(A140&gt;TODAY(),"Date is in the future. ","")))))</f>
        <v/>
      </c>
      <c r="L140" s="15" t="str">
        <f aca="false">IF(NOT(COUNTA($A140:$H140)&gt;0),"",IF(E140="","Missing amount. ",IF(NOT(ISNUMBER(E140)),"Amount is not a number. ",IF(E140&lt;=0,"Amount must be above zero. ",""))))</f>
        <v/>
      </c>
      <c r="M140" s="15" t="str">
        <f aca="false">IF(NOT(COUNTA($A140:$H140)&gt;0),"",IF(D140="","Missing category. ",IF(COUNTIF(Settings!$B$11:$B$40,D140)=0,"Category not in your list. ","")))</f>
        <v/>
      </c>
      <c r="N140" s="15" t="str">
        <f aca="false">IF(AND(ISNUMBER(A140),ISNUMBER(E140),B140&lt;&gt;""),IF(COUNTIFS($A$6:$A$505,A140,$B$6:$B$505,B140,$E$6:$E$505,E140)&gt;1,"Possible duplicate. ",""),"")</f>
        <v/>
      </c>
      <c r="O140" s="15" t="str">
        <f aca="false">IF(AND(ISNUMBER(E140),E140&gt;=Settings!$B$6,G140&lt;&gt;"Yes"),"Receipt not marked as saved. ","")</f>
        <v/>
      </c>
      <c r="P140" s="15" t="str">
        <f aca="false">IF(AND(ISNUMBER(E140),E140&gt;=Settings!$B$5),"Large amount: review. ","")</f>
        <v/>
      </c>
    </row>
    <row r="141" customFormat="false" ht="15" hidden="false" customHeight="false" outlineLevel="0" collapsed="false">
      <c r="A141" s="10"/>
      <c r="B141" s="11"/>
      <c r="C141" s="11"/>
      <c r="D141" s="11"/>
      <c r="E141" s="12"/>
      <c r="F141" s="11"/>
      <c r="G141" s="11"/>
      <c r="H141" s="11"/>
      <c r="I141" s="13" t="str">
        <f aca="false">IF(NOT(COUNTA($A141:$H141)&gt;0),"",IF(K141&amp;L141&amp;M141&lt;&gt;"","ERROR",IF(N141&amp;O141&amp;P141&lt;&gt;"","CHECK","OK")))</f>
        <v/>
      </c>
      <c r="J141" s="14" t="str">
        <f aca="false">TRIM(K141&amp;L141&amp;M141&amp;N141&amp;O141&amp;P141)</f>
        <v/>
      </c>
      <c r="K141" s="15" t="str">
        <f aca="true">IF(NOT(COUNTA($A141:$H141)&gt;0),"",IF(A141="","Missing date. ",IF(NOT(ISNUMBER(A141)),"Date is not a real date. ",IF(YEAR(A141)&lt;&gt;Settings!$B$4,"Date outside tax year. ",IF(A141&gt;TODAY(),"Date is in the future. ","")))))</f>
        <v/>
      </c>
      <c r="L141" s="15" t="str">
        <f aca="false">IF(NOT(COUNTA($A141:$H141)&gt;0),"",IF(E141="","Missing amount. ",IF(NOT(ISNUMBER(E141)),"Amount is not a number. ",IF(E141&lt;=0,"Amount must be above zero. ",""))))</f>
        <v/>
      </c>
      <c r="M141" s="15" t="str">
        <f aca="false">IF(NOT(COUNTA($A141:$H141)&gt;0),"",IF(D141="","Missing category. ",IF(COUNTIF(Settings!$B$11:$B$40,D141)=0,"Category not in your list. ","")))</f>
        <v/>
      </c>
      <c r="N141" s="15" t="str">
        <f aca="false">IF(AND(ISNUMBER(A141),ISNUMBER(E141),B141&lt;&gt;""),IF(COUNTIFS($A$6:$A$505,A141,$B$6:$B$505,B141,$E$6:$E$505,E141)&gt;1,"Possible duplicate. ",""),"")</f>
        <v/>
      </c>
      <c r="O141" s="15" t="str">
        <f aca="false">IF(AND(ISNUMBER(E141),E141&gt;=Settings!$B$6,G141&lt;&gt;"Yes"),"Receipt not marked as saved. ","")</f>
        <v/>
      </c>
      <c r="P141" s="15" t="str">
        <f aca="false">IF(AND(ISNUMBER(E141),E141&gt;=Settings!$B$5),"Large amount: review. ","")</f>
        <v/>
      </c>
    </row>
    <row r="142" customFormat="false" ht="15" hidden="false" customHeight="false" outlineLevel="0" collapsed="false">
      <c r="A142" s="10"/>
      <c r="B142" s="11"/>
      <c r="C142" s="11"/>
      <c r="D142" s="11"/>
      <c r="E142" s="12"/>
      <c r="F142" s="11"/>
      <c r="G142" s="11"/>
      <c r="H142" s="11"/>
      <c r="I142" s="13" t="str">
        <f aca="false">IF(NOT(COUNTA($A142:$H142)&gt;0),"",IF(K142&amp;L142&amp;M142&lt;&gt;"","ERROR",IF(N142&amp;O142&amp;P142&lt;&gt;"","CHECK","OK")))</f>
        <v/>
      </c>
      <c r="J142" s="14" t="str">
        <f aca="false">TRIM(K142&amp;L142&amp;M142&amp;N142&amp;O142&amp;P142)</f>
        <v/>
      </c>
      <c r="K142" s="15" t="str">
        <f aca="true">IF(NOT(COUNTA($A142:$H142)&gt;0),"",IF(A142="","Missing date. ",IF(NOT(ISNUMBER(A142)),"Date is not a real date. ",IF(YEAR(A142)&lt;&gt;Settings!$B$4,"Date outside tax year. ",IF(A142&gt;TODAY(),"Date is in the future. ","")))))</f>
        <v/>
      </c>
      <c r="L142" s="15" t="str">
        <f aca="false">IF(NOT(COUNTA($A142:$H142)&gt;0),"",IF(E142="","Missing amount. ",IF(NOT(ISNUMBER(E142)),"Amount is not a number. ",IF(E142&lt;=0,"Amount must be above zero. ",""))))</f>
        <v/>
      </c>
      <c r="M142" s="15" t="str">
        <f aca="false">IF(NOT(COUNTA($A142:$H142)&gt;0),"",IF(D142="","Missing category. ",IF(COUNTIF(Settings!$B$11:$B$40,D142)=0,"Category not in your list. ","")))</f>
        <v/>
      </c>
      <c r="N142" s="15" t="str">
        <f aca="false">IF(AND(ISNUMBER(A142),ISNUMBER(E142),B142&lt;&gt;""),IF(COUNTIFS($A$6:$A$505,A142,$B$6:$B$505,B142,$E$6:$E$505,E142)&gt;1,"Possible duplicate. ",""),"")</f>
        <v/>
      </c>
      <c r="O142" s="15" t="str">
        <f aca="false">IF(AND(ISNUMBER(E142),E142&gt;=Settings!$B$6,G142&lt;&gt;"Yes"),"Receipt not marked as saved. ","")</f>
        <v/>
      </c>
      <c r="P142" s="15" t="str">
        <f aca="false">IF(AND(ISNUMBER(E142),E142&gt;=Settings!$B$5),"Large amount: review. ","")</f>
        <v/>
      </c>
    </row>
    <row r="143" customFormat="false" ht="15" hidden="false" customHeight="false" outlineLevel="0" collapsed="false">
      <c r="A143" s="10"/>
      <c r="B143" s="11"/>
      <c r="C143" s="11"/>
      <c r="D143" s="11"/>
      <c r="E143" s="12"/>
      <c r="F143" s="11"/>
      <c r="G143" s="11"/>
      <c r="H143" s="11"/>
      <c r="I143" s="13" t="str">
        <f aca="false">IF(NOT(COUNTA($A143:$H143)&gt;0),"",IF(K143&amp;L143&amp;M143&lt;&gt;"","ERROR",IF(N143&amp;O143&amp;P143&lt;&gt;"","CHECK","OK")))</f>
        <v/>
      </c>
      <c r="J143" s="14" t="str">
        <f aca="false">TRIM(K143&amp;L143&amp;M143&amp;N143&amp;O143&amp;P143)</f>
        <v/>
      </c>
      <c r="K143" s="15" t="str">
        <f aca="true">IF(NOT(COUNTA($A143:$H143)&gt;0),"",IF(A143="","Missing date. ",IF(NOT(ISNUMBER(A143)),"Date is not a real date. ",IF(YEAR(A143)&lt;&gt;Settings!$B$4,"Date outside tax year. ",IF(A143&gt;TODAY(),"Date is in the future. ","")))))</f>
        <v/>
      </c>
      <c r="L143" s="15" t="str">
        <f aca="false">IF(NOT(COUNTA($A143:$H143)&gt;0),"",IF(E143="","Missing amount. ",IF(NOT(ISNUMBER(E143)),"Amount is not a number. ",IF(E143&lt;=0,"Amount must be above zero. ",""))))</f>
        <v/>
      </c>
      <c r="M143" s="15" t="str">
        <f aca="false">IF(NOT(COUNTA($A143:$H143)&gt;0),"",IF(D143="","Missing category. ",IF(COUNTIF(Settings!$B$11:$B$40,D143)=0,"Category not in your list. ","")))</f>
        <v/>
      </c>
      <c r="N143" s="15" t="str">
        <f aca="false">IF(AND(ISNUMBER(A143),ISNUMBER(E143),B143&lt;&gt;""),IF(COUNTIFS($A$6:$A$505,A143,$B$6:$B$505,B143,$E$6:$E$505,E143)&gt;1,"Possible duplicate. ",""),"")</f>
        <v/>
      </c>
      <c r="O143" s="15" t="str">
        <f aca="false">IF(AND(ISNUMBER(E143),E143&gt;=Settings!$B$6,G143&lt;&gt;"Yes"),"Receipt not marked as saved. ","")</f>
        <v/>
      </c>
      <c r="P143" s="15" t="str">
        <f aca="false">IF(AND(ISNUMBER(E143),E143&gt;=Settings!$B$5),"Large amount: review. ","")</f>
        <v/>
      </c>
    </row>
    <row r="144" customFormat="false" ht="15" hidden="false" customHeight="false" outlineLevel="0" collapsed="false">
      <c r="A144" s="10"/>
      <c r="B144" s="11"/>
      <c r="C144" s="11"/>
      <c r="D144" s="11"/>
      <c r="E144" s="12"/>
      <c r="F144" s="11"/>
      <c r="G144" s="11"/>
      <c r="H144" s="11"/>
      <c r="I144" s="13" t="str">
        <f aca="false">IF(NOT(COUNTA($A144:$H144)&gt;0),"",IF(K144&amp;L144&amp;M144&lt;&gt;"","ERROR",IF(N144&amp;O144&amp;P144&lt;&gt;"","CHECK","OK")))</f>
        <v/>
      </c>
      <c r="J144" s="14" t="str">
        <f aca="false">TRIM(K144&amp;L144&amp;M144&amp;N144&amp;O144&amp;P144)</f>
        <v/>
      </c>
      <c r="K144" s="15" t="str">
        <f aca="true">IF(NOT(COUNTA($A144:$H144)&gt;0),"",IF(A144="","Missing date. ",IF(NOT(ISNUMBER(A144)),"Date is not a real date. ",IF(YEAR(A144)&lt;&gt;Settings!$B$4,"Date outside tax year. ",IF(A144&gt;TODAY(),"Date is in the future. ","")))))</f>
        <v/>
      </c>
      <c r="L144" s="15" t="str">
        <f aca="false">IF(NOT(COUNTA($A144:$H144)&gt;0),"",IF(E144="","Missing amount. ",IF(NOT(ISNUMBER(E144)),"Amount is not a number. ",IF(E144&lt;=0,"Amount must be above zero. ",""))))</f>
        <v/>
      </c>
      <c r="M144" s="15" t="str">
        <f aca="false">IF(NOT(COUNTA($A144:$H144)&gt;0),"",IF(D144="","Missing category. ",IF(COUNTIF(Settings!$B$11:$B$40,D144)=0,"Category not in your list. ","")))</f>
        <v/>
      </c>
      <c r="N144" s="15" t="str">
        <f aca="false">IF(AND(ISNUMBER(A144),ISNUMBER(E144),B144&lt;&gt;""),IF(COUNTIFS($A$6:$A$505,A144,$B$6:$B$505,B144,$E$6:$E$505,E144)&gt;1,"Possible duplicate. ",""),"")</f>
        <v/>
      </c>
      <c r="O144" s="15" t="str">
        <f aca="false">IF(AND(ISNUMBER(E144),E144&gt;=Settings!$B$6,G144&lt;&gt;"Yes"),"Receipt not marked as saved. ","")</f>
        <v/>
      </c>
      <c r="P144" s="15" t="str">
        <f aca="false">IF(AND(ISNUMBER(E144),E144&gt;=Settings!$B$5),"Large amount: review. ","")</f>
        <v/>
      </c>
    </row>
    <row r="145" customFormat="false" ht="15" hidden="false" customHeight="false" outlineLevel="0" collapsed="false">
      <c r="A145" s="10"/>
      <c r="B145" s="11"/>
      <c r="C145" s="11"/>
      <c r="D145" s="11"/>
      <c r="E145" s="12"/>
      <c r="F145" s="11"/>
      <c r="G145" s="11"/>
      <c r="H145" s="11"/>
      <c r="I145" s="13" t="str">
        <f aca="false">IF(NOT(COUNTA($A145:$H145)&gt;0),"",IF(K145&amp;L145&amp;M145&lt;&gt;"","ERROR",IF(N145&amp;O145&amp;P145&lt;&gt;"","CHECK","OK")))</f>
        <v/>
      </c>
      <c r="J145" s="14" t="str">
        <f aca="false">TRIM(K145&amp;L145&amp;M145&amp;N145&amp;O145&amp;P145)</f>
        <v/>
      </c>
      <c r="K145" s="15" t="str">
        <f aca="true">IF(NOT(COUNTA($A145:$H145)&gt;0),"",IF(A145="","Missing date. ",IF(NOT(ISNUMBER(A145)),"Date is not a real date. ",IF(YEAR(A145)&lt;&gt;Settings!$B$4,"Date outside tax year. ",IF(A145&gt;TODAY(),"Date is in the future. ","")))))</f>
        <v/>
      </c>
      <c r="L145" s="15" t="str">
        <f aca="false">IF(NOT(COUNTA($A145:$H145)&gt;0),"",IF(E145="","Missing amount. ",IF(NOT(ISNUMBER(E145)),"Amount is not a number. ",IF(E145&lt;=0,"Amount must be above zero. ",""))))</f>
        <v/>
      </c>
      <c r="M145" s="15" t="str">
        <f aca="false">IF(NOT(COUNTA($A145:$H145)&gt;0),"",IF(D145="","Missing category. ",IF(COUNTIF(Settings!$B$11:$B$40,D145)=0,"Category not in your list. ","")))</f>
        <v/>
      </c>
      <c r="N145" s="15" t="str">
        <f aca="false">IF(AND(ISNUMBER(A145),ISNUMBER(E145),B145&lt;&gt;""),IF(COUNTIFS($A$6:$A$505,A145,$B$6:$B$505,B145,$E$6:$E$505,E145)&gt;1,"Possible duplicate. ",""),"")</f>
        <v/>
      </c>
      <c r="O145" s="15" t="str">
        <f aca="false">IF(AND(ISNUMBER(E145),E145&gt;=Settings!$B$6,G145&lt;&gt;"Yes"),"Receipt not marked as saved. ","")</f>
        <v/>
      </c>
      <c r="P145" s="15" t="str">
        <f aca="false">IF(AND(ISNUMBER(E145),E145&gt;=Settings!$B$5),"Large amount: review. ","")</f>
        <v/>
      </c>
    </row>
    <row r="146" customFormat="false" ht="15" hidden="false" customHeight="false" outlineLevel="0" collapsed="false">
      <c r="A146" s="10"/>
      <c r="B146" s="11"/>
      <c r="C146" s="11"/>
      <c r="D146" s="11"/>
      <c r="E146" s="12"/>
      <c r="F146" s="11"/>
      <c r="G146" s="11"/>
      <c r="H146" s="11"/>
      <c r="I146" s="13" t="str">
        <f aca="false">IF(NOT(COUNTA($A146:$H146)&gt;0),"",IF(K146&amp;L146&amp;M146&lt;&gt;"","ERROR",IF(N146&amp;O146&amp;P146&lt;&gt;"","CHECK","OK")))</f>
        <v/>
      </c>
      <c r="J146" s="14" t="str">
        <f aca="false">TRIM(K146&amp;L146&amp;M146&amp;N146&amp;O146&amp;P146)</f>
        <v/>
      </c>
      <c r="K146" s="15" t="str">
        <f aca="true">IF(NOT(COUNTA($A146:$H146)&gt;0),"",IF(A146="","Missing date. ",IF(NOT(ISNUMBER(A146)),"Date is not a real date. ",IF(YEAR(A146)&lt;&gt;Settings!$B$4,"Date outside tax year. ",IF(A146&gt;TODAY(),"Date is in the future. ","")))))</f>
        <v/>
      </c>
      <c r="L146" s="15" t="str">
        <f aca="false">IF(NOT(COUNTA($A146:$H146)&gt;0),"",IF(E146="","Missing amount. ",IF(NOT(ISNUMBER(E146)),"Amount is not a number. ",IF(E146&lt;=0,"Amount must be above zero. ",""))))</f>
        <v/>
      </c>
      <c r="M146" s="15" t="str">
        <f aca="false">IF(NOT(COUNTA($A146:$H146)&gt;0),"",IF(D146="","Missing category. ",IF(COUNTIF(Settings!$B$11:$B$40,D146)=0,"Category not in your list. ","")))</f>
        <v/>
      </c>
      <c r="N146" s="15" t="str">
        <f aca="false">IF(AND(ISNUMBER(A146),ISNUMBER(E146),B146&lt;&gt;""),IF(COUNTIFS($A$6:$A$505,A146,$B$6:$B$505,B146,$E$6:$E$505,E146)&gt;1,"Possible duplicate. ",""),"")</f>
        <v/>
      </c>
      <c r="O146" s="15" t="str">
        <f aca="false">IF(AND(ISNUMBER(E146),E146&gt;=Settings!$B$6,G146&lt;&gt;"Yes"),"Receipt not marked as saved. ","")</f>
        <v/>
      </c>
      <c r="P146" s="15" t="str">
        <f aca="false">IF(AND(ISNUMBER(E146),E146&gt;=Settings!$B$5),"Large amount: review. ","")</f>
        <v/>
      </c>
    </row>
    <row r="147" customFormat="false" ht="15" hidden="false" customHeight="false" outlineLevel="0" collapsed="false">
      <c r="A147" s="10"/>
      <c r="B147" s="11"/>
      <c r="C147" s="11"/>
      <c r="D147" s="11"/>
      <c r="E147" s="12"/>
      <c r="F147" s="11"/>
      <c r="G147" s="11"/>
      <c r="H147" s="11"/>
      <c r="I147" s="13" t="str">
        <f aca="false">IF(NOT(COUNTA($A147:$H147)&gt;0),"",IF(K147&amp;L147&amp;M147&lt;&gt;"","ERROR",IF(N147&amp;O147&amp;P147&lt;&gt;"","CHECK","OK")))</f>
        <v/>
      </c>
      <c r="J147" s="14" t="str">
        <f aca="false">TRIM(K147&amp;L147&amp;M147&amp;N147&amp;O147&amp;P147)</f>
        <v/>
      </c>
      <c r="K147" s="15" t="str">
        <f aca="true">IF(NOT(COUNTA($A147:$H147)&gt;0),"",IF(A147="","Missing date. ",IF(NOT(ISNUMBER(A147)),"Date is not a real date. ",IF(YEAR(A147)&lt;&gt;Settings!$B$4,"Date outside tax year. ",IF(A147&gt;TODAY(),"Date is in the future. ","")))))</f>
        <v/>
      </c>
      <c r="L147" s="15" t="str">
        <f aca="false">IF(NOT(COUNTA($A147:$H147)&gt;0),"",IF(E147="","Missing amount. ",IF(NOT(ISNUMBER(E147)),"Amount is not a number. ",IF(E147&lt;=0,"Amount must be above zero. ",""))))</f>
        <v/>
      </c>
      <c r="M147" s="15" t="str">
        <f aca="false">IF(NOT(COUNTA($A147:$H147)&gt;0),"",IF(D147="","Missing category. ",IF(COUNTIF(Settings!$B$11:$B$40,D147)=0,"Category not in your list. ","")))</f>
        <v/>
      </c>
      <c r="N147" s="15" t="str">
        <f aca="false">IF(AND(ISNUMBER(A147),ISNUMBER(E147),B147&lt;&gt;""),IF(COUNTIFS($A$6:$A$505,A147,$B$6:$B$505,B147,$E$6:$E$505,E147)&gt;1,"Possible duplicate. ",""),"")</f>
        <v/>
      </c>
      <c r="O147" s="15" t="str">
        <f aca="false">IF(AND(ISNUMBER(E147),E147&gt;=Settings!$B$6,G147&lt;&gt;"Yes"),"Receipt not marked as saved. ","")</f>
        <v/>
      </c>
      <c r="P147" s="15" t="str">
        <f aca="false">IF(AND(ISNUMBER(E147),E147&gt;=Settings!$B$5),"Large amount: review. ","")</f>
        <v/>
      </c>
    </row>
    <row r="148" customFormat="false" ht="15" hidden="false" customHeight="false" outlineLevel="0" collapsed="false">
      <c r="A148" s="10"/>
      <c r="B148" s="11"/>
      <c r="C148" s="11"/>
      <c r="D148" s="11"/>
      <c r="E148" s="12"/>
      <c r="F148" s="11"/>
      <c r="G148" s="11"/>
      <c r="H148" s="11"/>
      <c r="I148" s="13" t="str">
        <f aca="false">IF(NOT(COUNTA($A148:$H148)&gt;0),"",IF(K148&amp;L148&amp;M148&lt;&gt;"","ERROR",IF(N148&amp;O148&amp;P148&lt;&gt;"","CHECK","OK")))</f>
        <v/>
      </c>
      <c r="J148" s="14" t="str">
        <f aca="false">TRIM(K148&amp;L148&amp;M148&amp;N148&amp;O148&amp;P148)</f>
        <v/>
      </c>
      <c r="K148" s="15" t="str">
        <f aca="true">IF(NOT(COUNTA($A148:$H148)&gt;0),"",IF(A148="","Missing date. ",IF(NOT(ISNUMBER(A148)),"Date is not a real date. ",IF(YEAR(A148)&lt;&gt;Settings!$B$4,"Date outside tax year. ",IF(A148&gt;TODAY(),"Date is in the future. ","")))))</f>
        <v/>
      </c>
      <c r="L148" s="15" t="str">
        <f aca="false">IF(NOT(COUNTA($A148:$H148)&gt;0),"",IF(E148="","Missing amount. ",IF(NOT(ISNUMBER(E148)),"Amount is not a number. ",IF(E148&lt;=0,"Amount must be above zero. ",""))))</f>
        <v/>
      </c>
      <c r="M148" s="15" t="str">
        <f aca="false">IF(NOT(COUNTA($A148:$H148)&gt;0),"",IF(D148="","Missing category. ",IF(COUNTIF(Settings!$B$11:$B$40,D148)=0,"Category not in your list. ","")))</f>
        <v/>
      </c>
      <c r="N148" s="15" t="str">
        <f aca="false">IF(AND(ISNUMBER(A148),ISNUMBER(E148),B148&lt;&gt;""),IF(COUNTIFS($A$6:$A$505,A148,$B$6:$B$505,B148,$E$6:$E$505,E148)&gt;1,"Possible duplicate. ",""),"")</f>
        <v/>
      </c>
      <c r="O148" s="15" t="str">
        <f aca="false">IF(AND(ISNUMBER(E148),E148&gt;=Settings!$B$6,G148&lt;&gt;"Yes"),"Receipt not marked as saved. ","")</f>
        <v/>
      </c>
      <c r="P148" s="15" t="str">
        <f aca="false">IF(AND(ISNUMBER(E148),E148&gt;=Settings!$B$5),"Large amount: review. ","")</f>
        <v/>
      </c>
    </row>
    <row r="149" customFormat="false" ht="15" hidden="false" customHeight="false" outlineLevel="0" collapsed="false">
      <c r="A149" s="10"/>
      <c r="B149" s="11"/>
      <c r="C149" s="11"/>
      <c r="D149" s="11"/>
      <c r="E149" s="12"/>
      <c r="F149" s="11"/>
      <c r="G149" s="11"/>
      <c r="H149" s="11"/>
      <c r="I149" s="13" t="str">
        <f aca="false">IF(NOT(COUNTA($A149:$H149)&gt;0),"",IF(K149&amp;L149&amp;M149&lt;&gt;"","ERROR",IF(N149&amp;O149&amp;P149&lt;&gt;"","CHECK","OK")))</f>
        <v/>
      </c>
      <c r="J149" s="14" t="str">
        <f aca="false">TRIM(K149&amp;L149&amp;M149&amp;N149&amp;O149&amp;P149)</f>
        <v/>
      </c>
      <c r="K149" s="15" t="str">
        <f aca="true">IF(NOT(COUNTA($A149:$H149)&gt;0),"",IF(A149="","Missing date. ",IF(NOT(ISNUMBER(A149)),"Date is not a real date. ",IF(YEAR(A149)&lt;&gt;Settings!$B$4,"Date outside tax year. ",IF(A149&gt;TODAY(),"Date is in the future. ","")))))</f>
        <v/>
      </c>
      <c r="L149" s="15" t="str">
        <f aca="false">IF(NOT(COUNTA($A149:$H149)&gt;0),"",IF(E149="","Missing amount. ",IF(NOT(ISNUMBER(E149)),"Amount is not a number. ",IF(E149&lt;=0,"Amount must be above zero. ",""))))</f>
        <v/>
      </c>
      <c r="M149" s="15" t="str">
        <f aca="false">IF(NOT(COUNTA($A149:$H149)&gt;0),"",IF(D149="","Missing category. ",IF(COUNTIF(Settings!$B$11:$B$40,D149)=0,"Category not in your list. ","")))</f>
        <v/>
      </c>
      <c r="N149" s="15" t="str">
        <f aca="false">IF(AND(ISNUMBER(A149),ISNUMBER(E149),B149&lt;&gt;""),IF(COUNTIFS($A$6:$A$505,A149,$B$6:$B$505,B149,$E$6:$E$505,E149)&gt;1,"Possible duplicate. ",""),"")</f>
        <v/>
      </c>
      <c r="O149" s="15" t="str">
        <f aca="false">IF(AND(ISNUMBER(E149),E149&gt;=Settings!$B$6,G149&lt;&gt;"Yes"),"Receipt not marked as saved. ","")</f>
        <v/>
      </c>
      <c r="P149" s="15" t="str">
        <f aca="false">IF(AND(ISNUMBER(E149),E149&gt;=Settings!$B$5),"Large amount: review. ","")</f>
        <v/>
      </c>
    </row>
    <row r="150" customFormat="false" ht="15" hidden="false" customHeight="false" outlineLevel="0" collapsed="false">
      <c r="A150" s="10"/>
      <c r="B150" s="11"/>
      <c r="C150" s="11"/>
      <c r="D150" s="11"/>
      <c r="E150" s="12"/>
      <c r="F150" s="11"/>
      <c r="G150" s="11"/>
      <c r="H150" s="11"/>
      <c r="I150" s="13" t="str">
        <f aca="false">IF(NOT(COUNTA($A150:$H150)&gt;0),"",IF(K150&amp;L150&amp;M150&lt;&gt;"","ERROR",IF(N150&amp;O150&amp;P150&lt;&gt;"","CHECK","OK")))</f>
        <v/>
      </c>
      <c r="J150" s="14" t="str">
        <f aca="false">TRIM(K150&amp;L150&amp;M150&amp;N150&amp;O150&amp;P150)</f>
        <v/>
      </c>
      <c r="K150" s="15" t="str">
        <f aca="true">IF(NOT(COUNTA($A150:$H150)&gt;0),"",IF(A150="","Missing date. ",IF(NOT(ISNUMBER(A150)),"Date is not a real date. ",IF(YEAR(A150)&lt;&gt;Settings!$B$4,"Date outside tax year. ",IF(A150&gt;TODAY(),"Date is in the future. ","")))))</f>
        <v/>
      </c>
      <c r="L150" s="15" t="str">
        <f aca="false">IF(NOT(COUNTA($A150:$H150)&gt;0),"",IF(E150="","Missing amount. ",IF(NOT(ISNUMBER(E150)),"Amount is not a number. ",IF(E150&lt;=0,"Amount must be above zero. ",""))))</f>
        <v/>
      </c>
      <c r="M150" s="15" t="str">
        <f aca="false">IF(NOT(COUNTA($A150:$H150)&gt;0),"",IF(D150="","Missing category. ",IF(COUNTIF(Settings!$B$11:$B$40,D150)=0,"Category not in your list. ","")))</f>
        <v/>
      </c>
      <c r="N150" s="15" t="str">
        <f aca="false">IF(AND(ISNUMBER(A150),ISNUMBER(E150),B150&lt;&gt;""),IF(COUNTIFS($A$6:$A$505,A150,$B$6:$B$505,B150,$E$6:$E$505,E150)&gt;1,"Possible duplicate. ",""),"")</f>
        <v/>
      </c>
      <c r="O150" s="15" t="str">
        <f aca="false">IF(AND(ISNUMBER(E150),E150&gt;=Settings!$B$6,G150&lt;&gt;"Yes"),"Receipt not marked as saved. ","")</f>
        <v/>
      </c>
      <c r="P150" s="15" t="str">
        <f aca="false">IF(AND(ISNUMBER(E150),E150&gt;=Settings!$B$5),"Large amount: review. ","")</f>
        <v/>
      </c>
    </row>
    <row r="151" customFormat="false" ht="15" hidden="false" customHeight="false" outlineLevel="0" collapsed="false">
      <c r="A151" s="10"/>
      <c r="B151" s="11"/>
      <c r="C151" s="11"/>
      <c r="D151" s="11"/>
      <c r="E151" s="12"/>
      <c r="F151" s="11"/>
      <c r="G151" s="11"/>
      <c r="H151" s="11"/>
      <c r="I151" s="13" t="str">
        <f aca="false">IF(NOT(COUNTA($A151:$H151)&gt;0),"",IF(K151&amp;L151&amp;M151&lt;&gt;"","ERROR",IF(N151&amp;O151&amp;P151&lt;&gt;"","CHECK","OK")))</f>
        <v/>
      </c>
      <c r="J151" s="14" t="str">
        <f aca="false">TRIM(K151&amp;L151&amp;M151&amp;N151&amp;O151&amp;P151)</f>
        <v/>
      </c>
      <c r="K151" s="15" t="str">
        <f aca="true">IF(NOT(COUNTA($A151:$H151)&gt;0),"",IF(A151="","Missing date. ",IF(NOT(ISNUMBER(A151)),"Date is not a real date. ",IF(YEAR(A151)&lt;&gt;Settings!$B$4,"Date outside tax year. ",IF(A151&gt;TODAY(),"Date is in the future. ","")))))</f>
        <v/>
      </c>
      <c r="L151" s="15" t="str">
        <f aca="false">IF(NOT(COUNTA($A151:$H151)&gt;0),"",IF(E151="","Missing amount. ",IF(NOT(ISNUMBER(E151)),"Amount is not a number. ",IF(E151&lt;=0,"Amount must be above zero. ",""))))</f>
        <v/>
      </c>
      <c r="M151" s="15" t="str">
        <f aca="false">IF(NOT(COUNTA($A151:$H151)&gt;0),"",IF(D151="","Missing category. ",IF(COUNTIF(Settings!$B$11:$B$40,D151)=0,"Category not in your list. ","")))</f>
        <v/>
      </c>
      <c r="N151" s="15" t="str">
        <f aca="false">IF(AND(ISNUMBER(A151),ISNUMBER(E151),B151&lt;&gt;""),IF(COUNTIFS($A$6:$A$505,A151,$B$6:$B$505,B151,$E$6:$E$505,E151)&gt;1,"Possible duplicate. ",""),"")</f>
        <v/>
      </c>
      <c r="O151" s="15" t="str">
        <f aca="false">IF(AND(ISNUMBER(E151),E151&gt;=Settings!$B$6,G151&lt;&gt;"Yes"),"Receipt not marked as saved. ","")</f>
        <v/>
      </c>
      <c r="P151" s="15" t="str">
        <f aca="false">IF(AND(ISNUMBER(E151),E151&gt;=Settings!$B$5),"Large amount: review. ","")</f>
        <v/>
      </c>
    </row>
    <row r="152" customFormat="false" ht="15" hidden="false" customHeight="false" outlineLevel="0" collapsed="false">
      <c r="A152" s="10"/>
      <c r="B152" s="11"/>
      <c r="C152" s="11"/>
      <c r="D152" s="11"/>
      <c r="E152" s="12"/>
      <c r="F152" s="11"/>
      <c r="G152" s="11"/>
      <c r="H152" s="11"/>
      <c r="I152" s="13" t="str">
        <f aca="false">IF(NOT(COUNTA($A152:$H152)&gt;0),"",IF(K152&amp;L152&amp;M152&lt;&gt;"","ERROR",IF(N152&amp;O152&amp;P152&lt;&gt;"","CHECK","OK")))</f>
        <v/>
      </c>
      <c r="J152" s="14" t="str">
        <f aca="false">TRIM(K152&amp;L152&amp;M152&amp;N152&amp;O152&amp;P152)</f>
        <v/>
      </c>
      <c r="K152" s="15" t="str">
        <f aca="true">IF(NOT(COUNTA($A152:$H152)&gt;0),"",IF(A152="","Missing date. ",IF(NOT(ISNUMBER(A152)),"Date is not a real date. ",IF(YEAR(A152)&lt;&gt;Settings!$B$4,"Date outside tax year. ",IF(A152&gt;TODAY(),"Date is in the future. ","")))))</f>
        <v/>
      </c>
      <c r="L152" s="15" t="str">
        <f aca="false">IF(NOT(COUNTA($A152:$H152)&gt;0),"",IF(E152="","Missing amount. ",IF(NOT(ISNUMBER(E152)),"Amount is not a number. ",IF(E152&lt;=0,"Amount must be above zero. ",""))))</f>
        <v/>
      </c>
      <c r="M152" s="15" t="str">
        <f aca="false">IF(NOT(COUNTA($A152:$H152)&gt;0),"",IF(D152="","Missing category. ",IF(COUNTIF(Settings!$B$11:$B$40,D152)=0,"Category not in your list. ","")))</f>
        <v/>
      </c>
      <c r="N152" s="15" t="str">
        <f aca="false">IF(AND(ISNUMBER(A152),ISNUMBER(E152),B152&lt;&gt;""),IF(COUNTIFS($A$6:$A$505,A152,$B$6:$B$505,B152,$E$6:$E$505,E152)&gt;1,"Possible duplicate. ",""),"")</f>
        <v/>
      </c>
      <c r="O152" s="15" t="str">
        <f aca="false">IF(AND(ISNUMBER(E152),E152&gt;=Settings!$B$6,G152&lt;&gt;"Yes"),"Receipt not marked as saved. ","")</f>
        <v/>
      </c>
      <c r="P152" s="15" t="str">
        <f aca="false">IF(AND(ISNUMBER(E152),E152&gt;=Settings!$B$5),"Large amount: review. ","")</f>
        <v/>
      </c>
    </row>
    <row r="153" customFormat="false" ht="15" hidden="false" customHeight="false" outlineLevel="0" collapsed="false">
      <c r="A153" s="10"/>
      <c r="B153" s="11"/>
      <c r="C153" s="11"/>
      <c r="D153" s="11"/>
      <c r="E153" s="12"/>
      <c r="F153" s="11"/>
      <c r="G153" s="11"/>
      <c r="H153" s="11"/>
      <c r="I153" s="13" t="str">
        <f aca="false">IF(NOT(COUNTA($A153:$H153)&gt;0),"",IF(K153&amp;L153&amp;M153&lt;&gt;"","ERROR",IF(N153&amp;O153&amp;P153&lt;&gt;"","CHECK","OK")))</f>
        <v/>
      </c>
      <c r="J153" s="14" t="str">
        <f aca="false">TRIM(K153&amp;L153&amp;M153&amp;N153&amp;O153&amp;P153)</f>
        <v/>
      </c>
      <c r="K153" s="15" t="str">
        <f aca="true">IF(NOT(COUNTA($A153:$H153)&gt;0),"",IF(A153="","Missing date. ",IF(NOT(ISNUMBER(A153)),"Date is not a real date. ",IF(YEAR(A153)&lt;&gt;Settings!$B$4,"Date outside tax year. ",IF(A153&gt;TODAY(),"Date is in the future. ","")))))</f>
        <v/>
      </c>
      <c r="L153" s="15" t="str">
        <f aca="false">IF(NOT(COUNTA($A153:$H153)&gt;0),"",IF(E153="","Missing amount. ",IF(NOT(ISNUMBER(E153)),"Amount is not a number. ",IF(E153&lt;=0,"Amount must be above zero. ",""))))</f>
        <v/>
      </c>
      <c r="M153" s="15" t="str">
        <f aca="false">IF(NOT(COUNTA($A153:$H153)&gt;0),"",IF(D153="","Missing category. ",IF(COUNTIF(Settings!$B$11:$B$40,D153)=0,"Category not in your list. ","")))</f>
        <v/>
      </c>
      <c r="N153" s="15" t="str">
        <f aca="false">IF(AND(ISNUMBER(A153),ISNUMBER(E153),B153&lt;&gt;""),IF(COUNTIFS($A$6:$A$505,A153,$B$6:$B$505,B153,$E$6:$E$505,E153)&gt;1,"Possible duplicate. ",""),"")</f>
        <v/>
      </c>
      <c r="O153" s="15" t="str">
        <f aca="false">IF(AND(ISNUMBER(E153),E153&gt;=Settings!$B$6,G153&lt;&gt;"Yes"),"Receipt not marked as saved. ","")</f>
        <v/>
      </c>
      <c r="P153" s="15" t="str">
        <f aca="false">IF(AND(ISNUMBER(E153),E153&gt;=Settings!$B$5),"Large amount: review. ","")</f>
        <v/>
      </c>
    </row>
    <row r="154" customFormat="false" ht="15" hidden="false" customHeight="false" outlineLevel="0" collapsed="false">
      <c r="A154" s="10"/>
      <c r="B154" s="11"/>
      <c r="C154" s="11"/>
      <c r="D154" s="11"/>
      <c r="E154" s="12"/>
      <c r="F154" s="11"/>
      <c r="G154" s="11"/>
      <c r="H154" s="11"/>
      <c r="I154" s="13" t="str">
        <f aca="false">IF(NOT(COUNTA($A154:$H154)&gt;0),"",IF(K154&amp;L154&amp;M154&lt;&gt;"","ERROR",IF(N154&amp;O154&amp;P154&lt;&gt;"","CHECK","OK")))</f>
        <v/>
      </c>
      <c r="J154" s="14" t="str">
        <f aca="false">TRIM(K154&amp;L154&amp;M154&amp;N154&amp;O154&amp;P154)</f>
        <v/>
      </c>
      <c r="K154" s="15" t="str">
        <f aca="true">IF(NOT(COUNTA($A154:$H154)&gt;0),"",IF(A154="","Missing date. ",IF(NOT(ISNUMBER(A154)),"Date is not a real date. ",IF(YEAR(A154)&lt;&gt;Settings!$B$4,"Date outside tax year. ",IF(A154&gt;TODAY(),"Date is in the future. ","")))))</f>
        <v/>
      </c>
      <c r="L154" s="15" t="str">
        <f aca="false">IF(NOT(COUNTA($A154:$H154)&gt;0),"",IF(E154="","Missing amount. ",IF(NOT(ISNUMBER(E154)),"Amount is not a number. ",IF(E154&lt;=0,"Amount must be above zero. ",""))))</f>
        <v/>
      </c>
      <c r="M154" s="15" t="str">
        <f aca="false">IF(NOT(COUNTA($A154:$H154)&gt;0),"",IF(D154="","Missing category. ",IF(COUNTIF(Settings!$B$11:$B$40,D154)=0,"Category not in your list. ","")))</f>
        <v/>
      </c>
      <c r="N154" s="15" t="str">
        <f aca="false">IF(AND(ISNUMBER(A154),ISNUMBER(E154),B154&lt;&gt;""),IF(COUNTIFS($A$6:$A$505,A154,$B$6:$B$505,B154,$E$6:$E$505,E154)&gt;1,"Possible duplicate. ",""),"")</f>
        <v/>
      </c>
      <c r="O154" s="15" t="str">
        <f aca="false">IF(AND(ISNUMBER(E154),E154&gt;=Settings!$B$6,G154&lt;&gt;"Yes"),"Receipt not marked as saved. ","")</f>
        <v/>
      </c>
      <c r="P154" s="15" t="str">
        <f aca="false">IF(AND(ISNUMBER(E154),E154&gt;=Settings!$B$5),"Large amount: review. ","")</f>
        <v/>
      </c>
    </row>
    <row r="155" customFormat="false" ht="15" hidden="false" customHeight="false" outlineLevel="0" collapsed="false">
      <c r="A155" s="10"/>
      <c r="B155" s="11"/>
      <c r="C155" s="11"/>
      <c r="D155" s="11"/>
      <c r="E155" s="12"/>
      <c r="F155" s="11"/>
      <c r="G155" s="11"/>
      <c r="H155" s="11"/>
      <c r="I155" s="13" t="str">
        <f aca="false">IF(NOT(COUNTA($A155:$H155)&gt;0),"",IF(K155&amp;L155&amp;M155&lt;&gt;"","ERROR",IF(N155&amp;O155&amp;P155&lt;&gt;"","CHECK","OK")))</f>
        <v/>
      </c>
      <c r="J155" s="14" t="str">
        <f aca="false">TRIM(K155&amp;L155&amp;M155&amp;N155&amp;O155&amp;P155)</f>
        <v/>
      </c>
      <c r="K155" s="15" t="str">
        <f aca="true">IF(NOT(COUNTA($A155:$H155)&gt;0),"",IF(A155="","Missing date. ",IF(NOT(ISNUMBER(A155)),"Date is not a real date. ",IF(YEAR(A155)&lt;&gt;Settings!$B$4,"Date outside tax year. ",IF(A155&gt;TODAY(),"Date is in the future. ","")))))</f>
        <v/>
      </c>
      <c r="L155" s="15" t="str">
        <f aca="false">IF(NOT(COUNTA($A155:$H155)&gt;0),"",IF(E155="","Missing amount. ",IF(NOT(ISNUMBER(E155)),"Amount is not a number. ",IF(E155&lt;=0,"Amount must be above zero. ",""))))</f>
        <v/>
      </c>
      <c r="M155" s="15" t="str">
        <f aca="false">IF(NOT(COUNTA($A155:$H155)&gt;0),"",IF(D155="","Missing category. ",IF(COUNTIF(Settings!$B$11:$B$40,D155)=0,"Category not in your list. ","")))</f>
        <v/>
      </c>
      <c r="N155" s="15" t="str">
        <f aca="false">IF(AND(ISNUMBER(A155),ISNUMBER(E155),B155&lt;&gt;""),IF(COUNTIFS($A$6:$A$505,A155,$B$6:$B$505,B155,$E$6:$E$505,E155)&gt;1,"Possible duplicate. ",""),"")</f>
        <v/>
      </c>
      <c r="O155" s="15" t="str">
        <f aca="false">IF(AND(ISNUMBER(E155),E155&gt;=Settings!$B$6,G155&lt;&gt;"Yes"),"Receipt not marked as saved. ","")</f>
        <v/>
      </c>
      <c r="P155" s="15" t="str">
        <f aca="false">IF(AND(ISNUMBER(E155),E155&gt;=Settings!$B$5),"Large amount: review. ","")</f>
        <v/>
      </c>
    </row>
    <row r="156" customFormat="false" ht="15" hidden="false" customHeight="false" outlineLevel="0" collapsed="false">
      <c r="A156" s="10"/>
      <c r="B156" s="11"/>
      <c r="C156" s="11"/>
      <c r="D156" s="11"/>
      <c r="E156" s="12"/>
      <c r="F156" s="11"/>
      <c r="G156" s="11"/>
      <c r="H156" s="11"/>
      <c r="I156" s="13" t="str">
        <f aca="false">IF(NOT(COUNTA($A156:$H156)&gt;0),"",IF(K156&amp;L156&amp;M156&lt;&gt;"","ERROR",IF(N156&amp;O156&amp;P156&lt;&gt;"","CHECK","OK")))</f>
        <v/>
      </c>
      <c r="J156" s="14" t="str">
        <f aca="false">TRIM(K156&amp;L156&amp;M156&amp;N156&amp;O156&amp;P156)</f>
        <v/>
      </c>
      <c r="K156" s="15" t="str">
        <f aca="true">IF(NOT(COUNTA($A156:$H156)&gt;0),"",IF(A156="","Missing date. ",IF(NOT(ISNUMBER(A156)),"Date is not a real date. ",IF(YEAR(A156)&lt;&gt;Settings!$B$4,"Date outside tax year. ",IF(A156&gt;TODAY(),"Date is in the future. ","")))))</f>
        <v/>
      </c>
      <c r="L156" s="15" t="str">
        <f aca="false">IF(NOT(COUNTA($A156:$H156)&gt;0),"",IF(E156="","Missing amount. ",IF(NOT(ISNUMBER(E156)),"Amount is not a number. ",IF(E156&lt;=0,"Amount must be above zero. ",""))))</f>
        <v/>
      </c>
      <c r="M156" s="15" t="str">
        <f aca="false">IF(NOT(COUNTA($A156:$H156)&gt;0),"",IF(D156="","Missing category. ",IF(COUNTIF(Settings!$B$11:$B$40,D156)=0,"Category not in your list. ","")))</f>
        <v/>
      </c>
      <c r="N156" s="15" t="str">
        <f aca="false">IF(AND(ISNUMBER(A156),ISNUMBER(E156),B156&lt;&gt;""),IF(COUNTIFS($A$6:$A$505,A156,$B$6:$B$505,B156,$E$6:$E$505,E156)&gt;1,"Possible duplicate. ",""),"")</f>
        <v/>
      </c>
      <c r="O156" s="15" t="str">
        <f aca="false">IF(AND(ISNUMBER(E156),E156&gt;=Settings!$B$6,G156&lt;&gt;"Yes"),"Receipt not marked as saved. ","")</f>
        <v/>
      </c>
      <c r="P156" s="15" t="str">
        <f aca="false">IF(AND(ISNUMBER(E156),E156&gt;=Settings!$B$5),"Large amount: review. ","")</f>
        <v/>
      </c>
    </row>
    <row r="157" customFormat="false" ht="15" hidden="false" customHeight="false" outlineLevel="0" collapsed="false">
      <c r="A157" s="10"/>
      <c r="B157" s="11"/>
      <c r="C157" s="11"/>
      <c r="D157" s="11"/>
      <c r="E157" s="12"/>
      <c r="F157" s="11"/>
      <c r="G157" s="11"/>
      <c r="H157" s="11"/>
      <c r="I157" s="13" t="str">
        <f aca="false">IF(NOT(COUNTA($A157:$H157)&gt;0),"",IF(K157&amp;L157&amp;M157&lt;&gt;"","ERROR",IF(N157&amp;O157&amp;P157&lt;&gt;"","CHECK","OK")))</f>
        <v/>
      </c>
      <c r="J157" s="14" t="str">
        <f aca="false">TRIM(K157&amp;L157&amp;M157&amp;N157&amp;O157&amp;P157)</f>
        <v/>
      </c>
      <c r="K157" s="15" t="str">
        <f aca="true">IF(NOT(COUNTA($A157:$H157)&gt;0),"",IF(A157="","Missing date. ",IF(NOT(ISNUMBER(A157)),"Date is not a real date. ",IF(YEAR(A157)&lt;&gt;Settings!$B$4,"Date outside tax year. ",IF(A157&gt;TODAY(),"Date is in the future. ","")))))</f>
        <v/>
      </c>
      <c r="L157" s="15" t="str">
        <f aca="false">IF(NOT(COUNTA($A157:$H157)&gt;0),"",IF(E157="","Missing amount. ",IF(NOT(ISNUMBER(E157)),"Amount is not a number. ",IF(E157&lt;=0,"Amount must be above zero. ",""))))</f>
        <v/>
      </c>
      <c r="M157" s="15" t="str">
        <f aca="false">IF(NOT(COUNTA($A157:$H157)&gt;0),"",IF(D157="","Missing category. ",IF(COUNTIF(Settings!$B$11:$B$40,D157)=0,"Category not in your list. ","")))</f>
        <v/>
      </c>
      <c r="N157" s="15" t="str">
        <f aca="false">IF(AND(ISNUMBER(A157),ISNUMBER(E157),B157&lt;&gt;""),IF(COUNTIFS($A$6:$A$505,A157,$B$6:$B$505,B157,$E$6:$E$505,E157)&gt;1,"Possible duplicate. ",""),"")</f>
        <v/>
      </c>
      <c r="O157" s="15" t="str">
        <f aca="false">IF(AND(ISNUMBER(E157),E157&gt;=Settings!$B$6,G157&lt;&gt;"Yes"),"Receipt not marked as saved. ","")</f>
        <v/>
      </c>
      <c r="P157" s="15" t="str">
        <f aca="false">IF(AND(ISNUMBER(E157),E157&gt;=Settings!$B$5),"Large amount: review. ","")</f>
        <v/>
      </c>
    </row>
    <row r="158" customFormat="false" ht="15" hidden="false" customHeight="false" outlineLevel="0" collapsed="false">
      <c r="A158" s="10"/>
      <c r="B158" s="11"/>
      <c r="C158" s="11"/>
      <c r="D158" s="11"/>
      <c r="E158" s="12"/>
      <c r="F158" s="11"/>
      <c r="G158" s="11"/>
      <c r="H158" s="11"/>
      <c r="I158" s="13" t="str">
        <f aca="false">IF(NOT(COUNTA($A158:$H158)&gt;0),"",IF(K158&amp;L158&amp;M158&lt;&gt;"","ERROR",IF(N158&amp;O158&amp;P158&lt;&gt;"","CHECK","OK")))</f>
        <v/>
      </c>
      <c r="J158" s="14" t="str">
        <f aca="false">TRIM(K158&amp;L158&amp;M158&amp;N158&amp;O158&amp;P158)</f>
        <v/>
      </c>
      <c r="K158" s="15" t="str">
        <f aca="true">IF(NOT(COUNTA($A158:$H158)&gt;0),"",IF(A158="","Missing date. ",IF(NOT(ISNUMBER(A158)),"Date is not a real date. ",IF(YEAR(A158)&lt;&gt;Settings!$B$4,"Date outside tax year. ",IF(A158&gt;TODAY(),"Date is in the future. ","")))))</f>
        <v/>
      </c>
      <c r="L158" s="15" t="str">
        <f aca="false">IF(NOT(COUNTA($A158:$H158)&gt;0),"",IF(E158="","Missing amount. ",IF(NOT(ISNUMBER(E158)),"Amount is not a number. ",IF(E158&lt;=0,"Amount must be above zero. ",""))))</f>
        <v/>
      </c>
      <c r="M158" s="15" t="str">
        <f aca="false">IF(NOT(COUNTA($A158:$H158)&gt;0),"",IF(D158="","Missing category. ",IF(COUNTIF(Settings!$B$11:$B$40,D158)=0,"Category not in your list. ","")))</f>
        <v/>
      </c>
      <c r="N158" s="15" t="str">
        <f aca="false">IF(AND(ISNUMBER(A158),ISNUMBER(E158),B158&lt;&gt;""),IF(COUNTIFS($A$6:$A$505,A158,$B$6:$B$505,B158,$E$6:$E$505,E158)&gt;1,"Possible duplicate. ",""),"")</f>
        <v/>
      </c>
      <c r="O158" s="15" t="str">
        <f aca="false">IF(AND(ISNUMBER(E158),E158&gt;=Settings!$B$6,G158&lt;&gt;"Yes"),"Receipt not marked as saved. ","")</f>
        <v/>
      </c>
      <c r="P158" s="15" t="str">
        <f aca="false">IF(AND(ISNUMBER(E158),E158&gt;=Settings!$B$5),"Large amount: review. ","")</f>
        <v/>
      </c>
    </row>
    <row r="159" customFormat="false" ht="15" hidden="false" customHeight="false" outlineLevel="0" collapsed="false">
      <c r="A159" s="10"/>
      <c r="B159" s="11"/>
      <c r="C159" s="11"/>
      <c r="D159" s="11"/>
      <c r="E159" s="12"/>
      <c r="F159" s="11"/>
      <c r="G159" s="11"/>
      <c r="H159" s="11"/>
      <c r="I159" s="13" t="str">
        <f aca="false">IF(NOT(COUNTA($A159:$H159)&gt;0),"",IF(K159&amp;L159&amp;M159&lt;&gt;"","ERROR",IF(N159&amp;O159&amp;P159&lt;&gt;"","CHECK","OK")))</f>
        <v/>
      </c>
      <c r="J159" s="14" t="str">
        <f aca="false">TRIM(K159&amp;L159&amp;M159&amp;N159&amp;O159&amp;P159)</f>
        <v/>
      </c>
      <c r="K159" s="15" t="str">
        <f aca="true">IF(NOT(COUNTA($A159:$H159)&gt;0),"",IF(A159="","Missing date. ",IF(NOT(ISNUMBER(A159)),"Date is not a real date. ",IF(YEAR(A159)&lt;&gt;Settings!$B$4,"Date outside tax year. ",IF(A159&gt;TODAY(),"Date is in the future. ","")))))</f>
        <v/>
      </c>
      <c r="L159" s="15" t="str">
        <f aca="false">IF(NOT(COUNTA($A159:$H159)&gt;0),"",IF(E159="","Missing amount. ",IF(NOT(ISNUMBER(E159)),"Amount is not a number. ",IF(E159&lt;=0,"Amount must be above zero. ",""))))</f>
        <v/>
      </c>
      <c r="M159" s="15" t="str">
        <f aca="false">IF(NOT(COUNTA($A159:$H159)&gt;0),"",IF(D159="","Missing category. ",IF(COUNTIF(Settings!$B$11:$B$40,D159)=0,"Category not in your list. ","")))</f>
        <v/>
      </c>
      <c r="N159" s="15" t="str">
        <f aca="false">IF(AND(ISNUMBER(A159),ISNUMBER(E159),B159&lt;&gt;""),IF(COUNTIFS($A$6:$A$505,A159,$B$6:$B$505,B159,$E$6:$E$505,E159)&gt;1,"Possible duplicate. ",""),"")</f>
        <v/>
      </c>
      <c r="O159" s="15" t="str">
        <f aca="false">IF(AND(ISNUMBER(E159),E159&gt;=Settings!$B$6,G159&lt;&gt;"Yes"),"Receipt not marked as saved. ","")</f>
        <v/>
      </c>
      <c r="P159" s="15" t="str">
        <f aca="false">IF(AND(ISNUMBER(E159),E159&gt;=Settings!$B$5),"Large amount: review. ","")</f>
        <v/>
      </c>
    </row>
    <row r="160" customFormat="false" ht="15" hidden="false" customHeight="false" outlineLevel="0" collapsed="false">
      <c r="A160" s="10"/>
      <c r="B160" s="11"/>
      <c r="C160" s="11"/>
      <c r="D160" s="11"/>
      <c r="E160" s="12"/>
      <c r="F160" s="11"/>
      <c r="G160" s="11"/>
      <c r="H160" s="11"/>
      <c r="I160" s="13" t="str">
        <f aca="false">IF(NOT(COUNTA($A160:$H160)&gt;0),"",IF(K160&amp;L160&amp;M160&lt;&gt;"","ERROR",IF(N160&amp;O160&amp;P160&lt;&gt;"","CHECK","OK")))</f>
        <v/>
      </c>
      <c r="J160" s="14" t="str">
        <f aca="false">TRIM(K160&amp;L160&amp;M160&amp;N160&amp;O160&amp;P160)</f>
        <v/>
      </c>
      <c r="K160" s="15" t="str">
        <f aca="true">IF(NOT(COUNTA($A160:$H160)&gt;0),"",IF(A160="","Missing date. ",IF(NOT(ISNUMBER(A160)),"Date is not a real date. ",IF(YEAR(A160)&lt;&gt;Settings!$B$4,"Date outside tax year. ",IF(A160&gt;TODAY(),"Date is in the future. ","")))))</f>
        <v/>
      </c>
      <c r="L160" s="15" t="str">
        <f aca="false">IF(NOT(COUNTA($A160:$H160)&gt;0),"",IF(E160="","Missing amount. ",IF(NOT(ISNUMBER(E160)),"Amount is not a number. ",IF(E160&lt;=0,"Amount must be above zero. ",""))))</f>
        <v/>
      </c>
      <c r="M160" s="15" t="str">
        <f aca="false">IF(NOT(COUNTA($A160:$H160)&gt;0),"",IF(D160="","Missing category. ",IF(COUNTIF(Settings!$B$11:$B$40,D160)=0,"Category not in your list. ","")))</f>
        <v/>
      </c>
      <c r="N160" s="15" t="str">
        <f aca="false">IF(AND(ISNUMBER(A160),ISNUMBER(E160),B160&lt;&gt;""),IF(COUNTIFS($A$6:$A$505,A160,$B$6:$B$505,B160,$E$6:$E$505,E160)&gt;1,"Possible duplicate. ",""),"")</f>
        <v/>
      </c>
      <c r="O160" s="15" t="str">
        <f aca="false">IF(AND(ISNUMBER(E160),E160&gt;=Settings!$B$6,G160&lt;&gt;"Yes"),"Receipt not marked as saved. ","")</f>
        <v/>
      </c>
      <c r="P160" s="15" t="str">
        <f aca="false">IF(AND(ISNUMBER(E160),E160&gt;=Settings!$B$5),"Large amount: review. ","")</f>
        <v/>
      </c>
    </row>
    <row r="161" customFormat="false" ht="15" hidden="false" customHeight="false" outlineLevel="0" collapsed="false">
      <c r="A161" s="10"/>
      <c r="B161" s="11"/>
      <c r="C161" s="11"/>
      <c r="D161" s="11"/>
      <c r="E161" s="12"/>
      <c r="F161" s="11"/>
      <c r="G161" s="11"/>
      <c r="H161" s="11"/>
      <c r="I161" s="13" t="str">
        <f aca="false">IF(NOT(COUNTA($A161:$H161)&gt;0),"",IF(K161&amp;L161&amp;M161&lt;&gt;"","ERROR",IF(N161&amp;O161&amp;P161&lt;&gt;"","CHECK","OK")))</f>
        <v/>
      </c>
      <c r="J161" s="14" t="str">
        <f aca="false">TRIM(K161&amp;L161&amp;M161&amp;N161&amp;O161&amp;P161)</f>
        <v/>
      </c>
      <c r="K161" s="15" t="str">
        <f aca="true">IF(NOT(COUNTA($A161:$H161)&gt;0),"",IF(A161="","Missing date. ",IF(NOT(ISNUMBER(A161)),"Date is not a real date. ",IF(YEAR(A161)&lt;&gt;Settings!$B$4,"Date outside tax year. ",IF(A161&gt;TODAY(),"Date is in the future. ","")))))</f>
        <v/>
      </c>
      <c r="L161" s="15" t="str">
        <f aca="false">IF(NOT(COUNTA($A161:$H161)&gt;0),"",IF(E161="","Missing amount. ",IF(NOT(ISNUMBER(E161)),"Amount is not a number. ",IF(E161&lt;=0,"Amount must be above zero. ",""))))</f>
        <v/>
      </c>
      <c r="M161" s="15" t="str">
        <f aca="false">IF(NOT(COUNTA($A161:$H161)&gt;0),"",IF(D161="","Missing category. ",IF(COUNTIF(Settings!$B$11:$B$40,D161)=0,"Category not in your list. ","")))</f>
        <v/>
      </c>
      <c r="N161" s="15" t="str">
        <f aca="false">IF(AND(ISNUMBER(A161),ISNUMBER(E161),B161&lt;&gt;""),IF(COUNTIFS($A$6:$A$505,A161,$B$6:$B$505,B161,$E$6:$E$505,E161)&gt;1,"Possible duplicate. ",""),"")</f>
        <v/>
      </c>
      <c r="O161" s="15" t="str">
        <f aca="false">IF(AND(ISNUMBER(E161),E161&gt;=Settings!$B$6,G161&lt;&gt;"Yes"),"Receipt not marked as saved. ","")</f>
        <v/>
      </c>
      <c r="P161" s="15" t="str">
        <f aca="false">IF(AND(ISNUMBER(E161),E161&gt;=Settings!$B$5),"Large amount: review. ","")</f>
        <v/>
      </c>
    </row>
    <row r="162" customFormat="false" ht="15" hidden="false" customHeight="false" outlineLevel="0" collapsed="false">
      <c r="A162" s="10"/>
      <c r="B162" s="11"/>
      <c r="C162" s="11"/>
      <c r="D162" s="11"/>
      <c r="E162" s="12"/>
      <c r="F162" s="11"/>
      <c r="G162" s="11"/>
      <c r="H162" s="11"/>
      <c r="I162" s="13" t="str">
        <f aca="false">IF(NOT(COUNTA($A162:$H162)&gt;0),"",IF(K162&amp;L162&amp;M162&lt;&gt;"","ERROR",IF(N162&amp;O162&amp;P162&lt;&gt;"","CHECK","OK")))</f>
        <v/>
      </c>
      <c r="J162" s="14" t="str">
        <f aca="false">TRIM(K162&amp;L162&amp;M162&amp;N162&amp;O162&amp;P162)</f>
        <v/>
      </c>
      <c r="K162" s="15" t="str">
        <f aca="true">IF(NOT(COUNTA($A162:$H162)&gt;0),"",IF(A162="","Missing date. ",IF(NOT(ISNUMBER(A162)),"Date is not a real date. ",IF(YEAR(A162)&lt;&gt;Settings!$B$4,"Date outside tax year. ",IF(A162&gt;TODAY(),"Date is in the future. ","")))))</f>
        <v/>
      </c>
      <c r="L162" s="15" t="str">
        <f aca="false">IF(NOT(COUNTA($A162:$H162)&gt;0),"",IF(E162="","Missing amount. ",IF(NOT(ISNUMBER(E162)),"Amount is not a number. ",IF(E162&lt;=0,"Amount must be above zero. ",""))))</f>
        <v/>
      </c>
      <c r="M162" s="15" t="str">
        <f aca="false">IF(NOT(COUNTA($A162:$H162)&gt;0),"",IF(D162="","Missing category. ",IF(COUNTIF(Settings!$B$11:$B$40,D162)=0,"Category not in your list. ","")))</f>
        <v/>
      </c>
      <c r="N162" s="15" t="str">
        <f aca="false">IF(AND(ISNUMBER(A162),ISNUMBER(E162),B162&lt;&gt;""),IF(COUNTIFS($A$6:$A$505,A162,$B$6:$B$505,B162,$E$6:$E$505,E162)&gt;1,"Possible duplicate. ",""),"")</f>
        <v/>
      </c>
      <c r="O162" s="15" t="str">
        <f aca="false">IF(AND(ISNUMBER(E162),E162&gt;=Settings!$B$6,G162&lt;&gt;"Yes"),"Receipt not marked as saved. ","")</f>
        <v/>
      </c>
      <c r="P162" s="15" t="str">
        <f aca="false">IF(AND(ISNUMBER(E162),E162&gt;=Settings!$B$5),"Large amount: review. ","")</f>
        <v/>
      </c>
    </row>
    <row r="163" customFormat="false" ht="15" hidden="false" customHeight="false" outlineLevel="0" collapsed="false">
      <c r="A163" s="10"/>
      <c r="B163" s="11"/>
      <c r="C163" s="11"/>
      <c r="D163" s="11"/>
      <c r="E163" s="12"/>
      <c r="F163" s="11"/>
      <c r="G163" s="11"/>
      <c r="H163" s="11"/>
      <c r="I163" s="13" t="str">
        <f aca="false">IF(NOT(COUNTA($A163:$H163)&gt;0),"",IF(K163&amp;L163&amp;M163&lt;&gt;"","ERROR",IF(N163&amp;O163&amp;P163&lt;&gt;"","CHECK","OK")))</f>
        <v/>
      </c>
      <c r="J163" s="14" t="str">
        <f aca="false">TRIM(K163&amp;L163&amp;M163&amp;N163&amp;O163&amp;P163)</f>
        <v/>
      </c>
      <c r="K163" s="15" t="str">
        <f aca="true">IF(NOT(COUNTA($A163:$H163)&gt;0),"",IF(A163="","Missing date. ",IF(NOT(ISNUMBER(A163)),"Date is not a real date. ",IF(YEAR(A163)&lt;&gt;Settings!$B$4,"Date outside tax year. ",IF(A163&gt;TODAY(),"Date is in the future. ","")))))</f>
        <v/>
      </c>
      <c r="L163" s="15" t="str">
        <f aca="false">IF(NOT(COUNTA($A163:$H163)&gt;0),"",IF(E163="","Missing amount. ",IF(NOT(ISNUMBER(E163)),"Amount is not a number. ",IF(E163&lt;=0,"Amount must be above zero. ",""))))</f>
        <v/>
      </c>
      <c r="M163" s="15" t="str">
        <f aca="false">IF(NOT(COUNTA($A163:$H163)&gt;0),"",IF(D163="","Missing category. ",IF(COUNTIF(Settings!$B$11:$B$40,D163)=0,"Category not in your list. ","")))</f>
        <v/>
      </c>
      <c r="N163" s="15" t="str">
        <f aca="false">IF(AND(ISNUMBER(A163),ISNUMBER(E163),B163&lt;&gt;""),IF(COUNTIFS($A$6:$A$505,A163,$B$6:$B$505,B163,$E$6:$E$505,E163)&gt;1,"Possible duplicate. ",""),"")</f>
        <v/>
      </c>
      <c r="O163" s="15" t="str">
        <f aca="false">IF(AND(ISNUMBER(E163),E163&gt;=Settings!$B$6,G163&lt;&gt;"Yes"),"Receipt not marked as saved. ","")</f>
        <v/>
      </c>
      <c r="P163" s="15" t="str">
        <f aca="false">IF(AND(ISNUMBER(E163),E163&gt;=Settings!$B$5),"Large amount: review. ","")</f>
        <v/>
      </c>
    </row>
    <row r="164" customFormat="false" ht="15" hidden="false" customHeight="false" outlineLevel="0" collapsed="false">
      <c r="A164" s="10"/>
      <c r="B164" s="11"/>
      <c r="C164" s="11"/>
      <c r="D164" s="11"/>
      <c r="E164" s="12"/>
      <c r="F164" s="11"/>
      <c r="G164" s="11"/>
      <c r="H164" s="11"/>
      <c r="I164" s="13" t="str">
        <f aca="false">IF(NOT(COUNTA($A164:$H164)&gt;0),"",IF(K164&amp;L164&amp;M164&lt;&gt;"","ERROR",IF(N164&amp;O164&amp;P164&lt;&gt;"","CHECK","OK")))</f>
        <v/>
      </c>
      <c r="J164" s="14" t="str">
        <f aca="false">TRIM(K164&amp;L164&amp;M164&amp;N164&amp;O164&amp;P164)</f>
        <v/>
      </c>
      <c r="K164" s="15" t="str">
        <f aca="true">IF(NOT(COUNTA($A164:$H164)&gt;0),"",IF(A164="","Missing date. ",IF(NOT(ISNUMBER(A164)),"Date is not a real date. ",IF(YEAR(A164)&lt;&gt;Settings!$B$4,"Date outside tax year. ",IF(A164&gt;TODAY(),"Date is in the future. ","")))))</f>
        <v/>
      </c>
      <c r="L164" s="15" t="str">
        <f aca="false">IF(NOT(COUNTA($A164:$H164)&gt;0),"",IF(E164="","Missing amount. ",IF(NOT(ISNUMBER(E164)),"Amount is not a number. ",IF(E164&lt;=0,"Amount must be above zero. ",""))))</f>
        <v/>
      </c>
      <c r="M164" s="15" t="str">
        <f aca="false">IF(NOT(COUNTA($A164:$H164)&gt;0),"",IF(D164="","Missing category. ",IF(COUNTIF(Settings!$B$11:$B$40,D164)=0,"Category not in your list. ","")))</f>
        <v/>
      </c>
      <c r="N164" s="15" t="str">
        <f aca="false">IF(AND(ISNUMBER(A164),ISNUMBER(E164),B164&lt;&gt;""),IF(COUNTIFS($A$6:$A$505,A164,$B$6:$B$505,B164,$E$6:$E$505,E164)&gt;1,"Possible duplicate. ",""),"")</f>
        <v/>
      </c>
      <c r="O164" s="15" t="str">
        <f aca="false">IF(AND(ISNUMBER(E164),E164&gt;=Settings!$B$6,G164&lt;&gt;"Yes"),"Receipt not marked as saved. ","")</f>
        <v/>
      </c>
      <c r="P164" s="15" t="str">
        <f aca="false">IF(AND(ISNUMBER(E164),E164&gt;=Settings!$B$5),"Large amount: review. ","")</f>
        <v/>
      </c>
    </row>
    <row r="165" customFormat="false" ht="15" hidden="false" customHeight="false" outlineLevel="0" collapsed="false">
      <c r="A165" s="10"/>
      <c r="B165" s="11"/>
      <c r="C165" s="11"/>
      <c r="D165" s="11"/>
      <c r="E165" s="12"/>
      <c r="F165" s="11"/>
      <c r="G165" s="11"/>
      <c r="H165" s="11"/>
      <c r="I165" s="13" t="str">
        <f aca="false">IF(NOT(COUNTA($A165:$H165)&gt;0),"",IF(K165&amp;L165&amp;M165&lt;&gt;"","ERROR",IF(N165&amp;O165&amp;P165&lt;&gt;"","CHECK","OK")))</f>
        <v/>
      </c>
      <c r="J165" s="14" t="str">
        <f aca="false">TRIM(K165&amp;L165&amp;M165&amp;N165&amp;O165&amp;P165)</f>
        <v/>
      </c>
      <c r="K165" s="15" t="str">
        <f aca="true">IF(NOT(COUNTA($A165:$H165)&gt;0),"",IF(A165="","Missing date. ",IF(NOT(ISNUMBER(A165)),"Date is not a real date. ",IF(YEAR(A165)&lt;&gt;Settings!$B$4,"Date outside tax year. ",IF(A165&gt;TODAY(),"Date is in the future. ","")))))</f>
        <v/>
      </c>
      <c r="L165" s="15" t="str">
        <f aca="false">IF(NOT(COUNTA($A165:$H165)&gt;0),"",IF(E165="","Missing amount. ",IF(NOT(ISNUMBER(E165)),"Amount is not a number. ",IF(E165&lt;=0,"Amount must be above zero. ",""))))</f>
        <v/>
      </c>
      <c r="M165" s="15" t="str">
        <f aca="false">IF(NOT(COUNTA($A165:$H165)&gt;0),"",IF(D165="","Missing category. ",IF(COUNTIF(Settings!$B$11:$B$40,D165)=0,"Category not in your list. ","")))</f>
        <v/>
      </c>
      <c r="N165" s="15" t="str">
        <f aca="false">IF(AND(ISNUMBER(A165),ISNUMBER(E165),B165&lt;&gt;""),IF(COUNTIFS($A$6:$A$505,A165,$B$6:$B$505,B165,$E$6:$E$505,E165)&gt;1,"Possible duplicate. ",""),"")</f>
        <v/>
      </c>
      <c r="O165" s="15" t="str">
        <f aca="false">IF(AND(ISNUMBER(E165),E165&gt;=Settings!$B$6,G165&lt;&gt;"Yes"),"Receipt not marked as saved. ","")</f>
        <v/>
      </c>
      <c r="P165" s="15" t="str">
        <f aca="false">IF(AND(ISNUMBER(E165),E165&gt;=Settings!$B$5),"Large amount: review. ","")</f>
        <v/>
      </c>
    </row>
    <row r="166" customFormat="false" ht="15" hidden="false" customHeight="false" outlineLevel="0" collapsed="false">
      <c r="A166" s="10"/>
      <c r="B166" s="11"/>
      <c r="C166" s="11"/>
      <c r="D166" s="11"/>
      <c r="E166" s="12"/>
      <c r="F166" s="11"/>
      <c r="G166" s="11"/>
      <c r="H166" s="11"/>
      <c r="I166" s="13" t="str">
        <f aca="false">IF(NOT(COUNTA($A166:$H166)&gt;0),"",IF(K166&amp;L166&amp;M166&lt;&gt;"","ERROR",IF(N166&amp;O166&amp;P166&lt;&gt;"","CHECK","OK")))</f>
        <v/>
      </c>
      <c r="J166" s="14" t="str">
        <f aca="false">TRIM(K166&amp;L166&amp;M166&amp;N166&amp;O166&amp;P166)</f>
        <v/>
      </c>
      <c r="K166" s="15" t="str">
        <f aca="true">IF(NOT(COUNTA($A166:$H166)&gt;0),"",IF(A166="","Missing date. ",IF(NOT(ISNUMBER(A166)),"Date is not a real date. ",IF(YEAR(A166)&lt;&gt;Settings!$B$4,"Date outside tax year. ",IF(A166&gt;TODAY(),"Date is in the future. ","")))))</f>
        <v/>
      </c>
      <c r="L166" s="15" t="str">
        <f aca="false">IF(NOT(COUNTA($A166:$H166)&gt;0),"",IF(E166="","Missing amount. ",IF(NOT(ISNUMBER(E166)),"Amount is not a number. ",IF(E166&lt;=0,"Amount must be above zero. ",""))))</f>
        <v/>
      </c>
      <c r="M166" s="15" t="str">
        <f aca="false">IF(NOT(COUNTA($A166:$H166)&gt;0),"",IF(D166="","Missing category. ",IF(COUNTIF(Settings!$B$11:$B$40,D166)=0,"Category not in your list. ","")))</f>
        <v/>
      </c>
      <c r="N166" s="15" t="str">
        <f aca="false">IF(AND(ISNUMBER(A166),ISNUMBER(E166),B166&lt;&gt;""),IF(COUNTIFS($A$6:$A$505,A166,$B$6:$B$505,B166,$E$6:$E$505,E166)&gt;1,"Possible duplicate. ",""),"")</f>
        <v/>
      </c>
      <c r="O166" s="15" t="str">
        <f aca="false">IF(AND(ISNUMBER(E166),E166&gt;=Settings!$B$6,G166&lt;&gt;"Yes"),"Receipt not marked as saved. ","")</f>
        <v/>
      </c>
      <c r="P166" s="15" t="str">
        <f aca="false">IF(AND(ISNUMBER(E166),E166&gt;=Settings!$B$5),"Large amount: review. ","")</f>
        <v/>
      </c>
    </row>
    <row r="167" customFormat="false" ht="15" hidden="false" customHeight="false" outlineLevel="0" collapsed="false">
      <c r="A167" s="10"/>
      <c r="B167" s="11"/>
      <c r="C167" s="11"/>
      <c r="D167" s="11"/>
      <c r="E167" s="12"/>
      <c r="F167" s="11"/>
      <c r="G167" s="11"/>
      <c r="H167" s="11"/>
      <c r="I167" s="13" t="str">
        <f aca="false">IF(NOT(COUNTA($A167:$H167)&gt;0),"",IF(K167&amp;L167&amp;M167&lt;&gt;"","ERROR",IF(N167&amp;O167&amp;P167&lt;&gt;"","CHECK","OK")))</f>
        <v/>
      </c>
      <c r="J167" s="14" t="str">
        <f aca="false">TRIM(K167&amp;L167&amp;M167&amp;N167&amp;O167&amp;P167)</f>
        <v/>
      </c>
      <c r="K167" s="15" t="str">
        <f aca="true">IF(NOT(COUNTA($A167:$H167)&gt;0),"",IF(A167="","Missing date. ",IF(NOT(ISNUMBER(A167)),"Date is not a real date. ",IF(YEAR(A167)&lt;&gt;Settings!$B$4,"Date outside tax year. ",IF(A167&gt;TODAY(),"Date is in the future. ","")))))</f>
        <v/>
      </c>
      <c r="L167" s="15" t="str">
        <f aca="false">IF(NOT(COUNTA($A167:$H167)&gt;0),"",IF(E167="","Missing amount. ",IF(NOT(ISNUMBER(E167)),"Amount is not a number. ",IF(E167&lt;=0,"Amount must be above zero. ",""))))</f>
        <v/>
      </c>
      <c r="M167" s="15" t="str">
        <f aca="false">IF(NOT(COUNTA($A167:$H167)&gt;0),"",IF(D167="","Missing category. ",IF(COUNTIF(Settings!$B$11:$B$40,D167)=0,"Category not in your list. ","")))</f>
        <v/>
      </c>
      <c r="N167" s="15" t="str">
        <f aca="false">IF(AND(ISNUMBER(A167),ISNUMBER(E167),B167&lt;&gt;""),IF(COUNTIFS($A$6:$A$505,A167,$B$6:$B$505,B167,$E$6:$E$505,E167)&gt;1,"Possible duplicate. ",""),"")</f>
        <v/>
      </c>
      <c r="O167" s="15" t="str">
        <f aca="false">IF(AND(ISNUMBER(E167),E167&gt;=Settings!$B$6,G167&lt;&gt;"Yes"),"Receipt not marked as saved. ","")</f>
        <v/>
      </c>
      <c r="P167" s="15" t="str">
        <f aca="false">IF(AND(ISNUMBER(E167),E167&gt;=Settings!$B$5),"Large amount: review. ","")</f>
        <v/>
      </c>
    </row>
    <row r="168" customFormat="false" ht="15" hidden="false" customHeight="false" outlineLevel="0" collapsed="false">
      <c r="A168" s="10"/>
      <c r="B168" s="11"/>
      <c r="C168" s="11"/>
      <c r="D168" s="11"/>
      <c r="E168" s="12"/>
      <c r="F168" s="11"/>
      <c r="G168" s="11"/>
      <c r="H168" s="11"/>
      <c r="I168" s="13" t="str">
        <f aca="false">IF(NOT(COUNTA($A168:$H168)&gt;0),"",IF(K168&amp;L168&amp;M168&lt;&gt;"","ERROR",IF(N168&amp;O168&amp;P168&lt;&gt;"","CHECK","OK")))</f>
        <v/>
      </c>
      <c r="J168" s="14" t="str">
        <f aca="false">TRIM(K168&amp;L168&amp;M168&amp;N168&amp;O168&amp;P168)</f>
        <v/>
      </c>
      <c r="K168" s="15" t="str">
        <f aca="true">IF(NOT(COUNTA($A168:$H168)&gt;0),"",IF(A168="","Missing date. ",IF(NOT(ISNUMBER(A168)),"Date is not a real date. ",IF(YEAR(A168)&lt;&gt;Settings!$B$4,"Date outside tax year. ",IF(A168&gt;TODAY(),"Date is in the future. ","")))))</f>
        <v/>
      </c>
      <c r="L168" s="15" t="str">
        <f aca="false">IF(NOT(COUNTA($A168:$H168)&gt;0),"",IF(E168="","Missing amount. ",IF(NOT(ISNUMBER(E168)),"Amount is not a number. ",IF(E168&lt;=0,"Amount must be above zero. ",""))))</f>
        <v/>
      </c>
      <c r="M168" s="15" t="str">
        <f aca="false">IF(NOT(COUNTA($A168:$H168)&gt;0),"",IF(D168="","Missing category. ",IF(COUNTIF(Settings!$B$11:$B$40,D168)=0,"Category not in your list. ","")))</f>
        <v/>
      </c>
      <c r="N168" s="15" t="str">
        <f aca="false">IF(AND(ISNUMBER(A168),ISNUMBER(E168),B168&lt;&gt;""),IF(COUNTIFS($A$6:$A$505,A168,$B$6:$B$505,B168,$E$6:$E$505,E168)&gt;1,"Possible duplicate. ",""),"")</f>
        <v/>
      </c>
      <c r="O168" s="15" t="str">
        <f aca="false">IF(AND(ISNUMBER(E168),E168&gt;=Settings!$B$6,G168&lt;&gt;"Yes"),"Receipt not marked as saved. ","")</f>
        <v/>
      </c>
      <c r="P168" s="15" t="str">
        <f aca="false">IF(AND(ISNUMBER(E168),E168&gt;=Settings!$B$5),"Large amount: review. ","")</f>
        <v/>
      </c>
    </row>
    <row r="169" customFormat="false" ht="15" hidden="false" customHeight="false" outlineLevel="0" collapsed="false">
      <c r="A169" s="10"/>
      <c r="B169" s="11"/>
      <c r="C169" s="11"/>
      <c r="D169" s="11"/>
      <c r="E169" s="12"/>
      <c r="F169" s="11"/>
      <c r="G169" s="11"/>
      <c r="H169" s="11"/>
      <c r="I169" s="13" t="str">
        <f aca="false">IF(NOT(COUNTA($A169:$H169)&gt;0),"",IF(K169&amp;L169&amp;M169&lt;&gt;"","ERROR",IF(N169&amp;O169&amp;P169&lt;&gt;"","CHECK","OK")))</f>
        <v/>
      </c>
      <c r="J169" s="14" t="str">
        <f aca="false">TRIM(K169&amp;L169&amp;M169&amp;N169&amp;O169&amp;P169)</f>
        <v/>
      </c>
      <c r="K169" s="15" t="str">
        <f aca="true">IF(NOT(COUNTA($A169:$H169)&gt;0),"",IF(A169="","Missing date. ",IF(NOT(ISNUMBER(A169)),"Date is not a real date. ",IF(YEAR(A169)&lt;&gt;Settings!$B$4,"Date outside tax year. ",IF(A169&gt;TODAY(),"Date is in the future. ","")))))</f>
        <v/>
      </c>
      <c r="L169" s="15" t="str">
        <f aca="false">IF(NOT(COUNTA($A169:$H169)&gt;0),"",IF(E169="","Missing amount. ",IF(NOT(ISNUMBER(E169)),"Amount is not a number. ",IF(E169&lt;=0,"Amount must be above zero. ",""))))</f>
        <v/>
      </c>
      <c r="M169" s="15" t="str">
        <f aca="false">IF(NOT(COUNTA($A169:$H169)&gt;0),"",IF(D169="","Missing category. ",IF(COUNTIF(Settings!$B$11:$B$40,D169)=0,"Category not in your list. ","")))</f>
        <v/>
      </c>
      <c r="N169" s="15" t="str">
        <f aca="false">IF(AND(ISNUMBER(A169),ISNUMBER(E169),B169&lt;&gt;""),IF(COUNTIFS($A$6:$A$505,A169,$B$6:$B$505,B169,$E$6:$E$505,E169)&gt;1,"Possible duplicate. ",""),"")</f>
        <v/>
      </c>
      <c r="O169" s="15" t="str">
        <f aca="false">IF(AND(ISNUMBER(E169),E169&gt;=Settings!$B$6,G169&lt;&gt;"Yes"),"Receipt not marked as saved. ","")</f>
        <v/>
      </c>
      <c r="P169" s="15" t="str">
        <f aca="false">IF(AND(ISNUMBER(E169),E169&gt;=Settings!$B$5),"Large amount: review. ","")</f>
        <v/>
      </c>
    </row>
    <row r="170" customFormat="false" ht="15" hidden="false" customHeight="false" outlineLevel="0" collapsed="false">
      <c r="A170" s="10"/>
      <c r="B170" s="11"/>
      <c r="C170" s="11"/>
      <c r="D170" s="11"/>
      <c r="E170" s="12"/>
      <c r="F170" s="11"/>
      <c r="G170" s="11"/>
      <c r="H170" s="11"/>
      <c r="I170" s="13" t="str">
        <f aca="false">IF(NOT(COUNTA($A170:$H170)&gt;0),"",IF(K170&amp;L170&amp;M170&lt;&gt;"","ERROR",IF(N170&amp;O170&amp;P170&lt;&gt;"","CHECK","OK")))</f>
        <v/>
      </c>
      <c r="J170" s="14" t="str">
        <f aca="false">TRIM(K170&amp;L170&amp;M170&amp;N170&amp;O170&amp;P170)</f>
        <v/>
      </c>
      <c r="K170" s="15" t="str">
        <f aca="true">IF(NOT(COUNTA($A170:$H170)&gt;0),"",IF(A170="","Missing date. ",IF(NOT(ISNUMBER(A170)),"Date is not a real date. ",IF(YEAR(A170)&lt;&gt;Settings!$B$4,"Date outside tax year. ",IF(A170&gt;TODAY(),"Date is in the future. ","")))))</f>
        <v/>
      </c>
      <c r="L170" s="15" t="str">
        <f aca="false">IF(NOT(COUNTA($A170:$H170)&gt;0),"",IF(E170="","Missing amount. ",IF(NOT(ISNUMBER(E170)),"Amount is not a number. ",IF(E170&lt;=0,"Amount must be above zero. ",""))))</f>
        <v/>
      </c>
      <c r="M170" s="15" t="str">
        <f aca="false">IF(NOT(COUNTA($A170:$H170)&gt;0),"",IF(D170="","Missing category. ",IF(COUNTIF(Settings!$B$11:$B$40,D170)=0,"Category not in your list. ","")))</f>
        <v/>
      </c>
      <c r="N170" s="15" t="str">
        <f aca="false">IF(AND(ISNUMBER(A170),ISNUMBER(E170),B170&lt;&gt;""),IF(COUNTIFS($A$6:$A$505,A170,$B$6:$B$505,B170,$E$6:$E$505,E170)&gt;1,"Possible duplicate. ",""),"")</f>
        <v/>
      </c>
      <c r="O170" s="15" t="str">
        <f aca="false">IF(AND(ISNUMBER(E170),E170&gt;=Settings!$B$6,G170&lt;&gt;"Yes"),"Receipt not marked as saved. ","")</f>
        <v/>
      </c>
      <c r="P170" s="15" t="str">
        <f aca="false">IF(AND(ISNUMBER(E170),E170&gt;=Settings!$B$5),"Large amount: review. ","")</f>
        <v/>
      </c>
    </row>
    <row r="171" customFormat="false" ht="15" hidden="false" customHeight="false" outlineLevel="0" collapsed="false">
      <c r="A171" s="10"/>
      <c r="B171" s="11"/>
      <c r="C171" s="11"/>
      <c r="D171" s="11"/>
      <c r="E171" s="12"/>
      <c r="F171" s="11"/>
      <c r="G171" s="11"/>
      <c r="H171" s="11"/>
      <c r="I171" s="13" t="str">
        <f aca="false">IF(NOT(COUNTA($A171:$H171)&gt;0),"",IF(K171&amp;L171&amp;M171&lt;&gt;"","ERROR",IF(N171&amp;O171&amp;P171&lt;&gt;"","CHECK","OK")))</f>
        <v/>
      </c>
      <c r="J171" s="14" t="str">
        <f aca="false">TRIM(K171&amp;L171&amp;M171&amp;N171&amp;O171&amp;P171)</f>
        <v/>
      </c>
      <c r="K171" s="15" t="str">
        <f aca="true">IF(NOT(COUNTA($A171:$H171)&gt;0),"",IF(A171="","Missing date. ",IF(NOT(ISNUMBER(A171)),"Date is not a real date. ",IF(YEAR(A171)&lt;&gt;Settings!$B$4,"Date outside tax year. ",IF(A171&gt;TODAY(),"Date is in the future. ","")))))</f>
        <v/>
      </c>
      <c r="L171" s="15" t="str">
        <f aca="false">IF(NOT(COUNTA($A171:$H171)&gt;0),"",IF(E171="","Missing amount. ",IF(NOT(ISNUMBER(E171)),"Amount is not a number. ",IF(E171&lt;=0,"Amount must be above zero. ",""))))</f>
        <v/>
      </c>
      <c r="M171" s="15" t="str">
        <f aca="false">IF(NOT(COUNTA($A171:$H171)&gt;0),"",IF(D171="","Missing category. ",IF(COUNTIF(Settings!$B$11:$B$40,D171)=0,"Category not in your list. ","")))</f>
        <v/>
      </c>
      <c r="N171" s="15" t="str">
        <f aca="false">IF(AND(ISNUMBER(A171),ISNUMBER(E171),B171&lt;&gt;""),IF(COUNTIFS($A$6:$A$505,A171,$B$6:$B$505,B171,$E$6:$E$505,E171)&gt;1,"Possible duplicate. ",""),"")</f>
        <v/>
      </c>
      <c r="O171" s="15" t="str">
        <f aca="false">IF(AND(ISNUMBER(E171),E171&gt;=Settings!$B$6,G171&lt;&gt;"Yes"),"Receipt not marked as saved. ","")</f>
        <v/>
      </c>
      <c r="P171" s="15" t="str">
        <f aca="false">IF(AND(ISNUMBER(E171),E171&gt;=Settings!$B$5),"Large amount: review. ","")</f>
        <v/>
      </c>
    </row>
    <row r="172" customFormat="false" ht="15" hidden="false" customHeight="false" outlineLevel="0" collapsed="false">
      <c r="A172" s="10"/>
      <c r="B172" s="11"/>
      <c r="C172" s="11"/>
      <c r="D172" s="11"/>
      <c r="E172" s="12"/>
      <c r="F172" s="11"/>
      <c r="G172" s="11"/>
      <c r="H172" s="11"/>
      <c r="I172" s="13" t="str">
        <f aca="false">IF(NOT(COUNTA($A172:$H172)&gt;0),"",IF(K172&amp;L172&amp;M172&lt;&gt;"","ERROR",IF(N172&amp;O172&amp;P172&lt;&gt;"","CHECK","OK")))</f>
        <v/>
      </c>
      <c r="J172" s="14" t="str">
        <f aca="false">TRIM(K172&amp;L172&amp;M172&amp;N172&amp;O172&amp;P172)</f>
        <v/>
      </c>
      <c r="K172" s="15" t="str">
        <f aca="true">IF(NOT(COUNTA($A172:$H172)&gt;0),"",IF(A172="","Missing date. ",IF(NOT(ISNUMBER(A172)),"Date is not a real date. ",IF(YEAR(A172)&lt;&gt;Settings!$B$4,"Date outside tax year. ",IF(A172&gt;TODAY(),"Date is in the future. ","")))))</f>
        <v/>
      </c>
      <c r="L172" s="15" t="str">
        <f aca="false">IF(NOT(COUNTA($A172:$H172)&gt;0),"",IF(E172="","Missing amount. ",IF(NOT(ISNUMBER(E172)),"Amount is not a number. ",IF(E172&lt;=0,"Amount must be above zero. ",""))))</f>
        <v/>
      </c>
      <c r="M172" s="15" t="str">
        <f aca="false">IF(NOT(COUNTA($A172:$H172)&gt;0),"",IF(D172="","Missing category. ",IF(COUNTIF(Settings!$B$11:$B$40,D172)=0,"Category not in your list. ","")))</f>
        <v/>
      </c>
      <c r="N172" s="15" t="str">
        <f aca="false">IF(AND(ISNUMBER(A172),ISNUMBER(E172),B172&lt;&gt;""),IF(COUNTIFS($A$6:$A$505,A172,$B$6:$B$505,B172,$E$6:$E$505,E172)&gt;1,"Possible duplicate. ",""),"")</f>
        <v/>
      </c>
      <c r="O172" s="15" t="str">
        <f aca="false">IF(AND(ISNUMBER(E172),E172&gt;=Settings!$B$6,G172&lt;&gt;"Yes"),"Receipt not marked as saved. ","")</f>
        <v/>
      </c>
      <c r="P172" s="15" t="str">
        <f aca="false">IF(AND(ISNUMBER(E172),E172&gt;=Settings!$B$5),"Large amount: review. ","")</f>
        <v/>
      </c>
    </row>
    <row r="173" customFormat="false" ht="15" hidden="false" customHeight="false" outlineLevel="0" collapsed="false">
      <c r="A173" s="10"/>
      <c r="B173" s="11"/>
      <c r="C173" s="11"/>
      <c r="D173" s="11"/>
      <c r="E173" s="12"/>
      <c r="F173" s="11"/>
      <c r="G173" s="11"/>
      <c r="H173" s="11"/>
      <c r="I173" s="13" t="str">
        <f aca="false">IF(NOT(COUNTA($A173:$H173)&gt;0),"",IF(K173&amp;L173&amp;M173&lt;&gt;"","ERROR",IF(N173&amp;O173&amp;P173&lt;&gt;"","CHECK","OK")))</f>
        <v/>
      </c>
      <c r="J173" s="14" t="str">
        <f aca="false">TRIM(K173&amp;L173&amp;M173&amp;N173&amp;O173&amp;P173)</f>
        <v/>
      </c>
      <c r="K173" s="15" t="str">
        <f aca="true">IF(NOT(COUNTA($A173:$H173)&gt;0),"",IF(A173="","Missing date. ",IF(NOT(ISNUMBER(A173)),"Date is not a real date. ",IF(YEAR(A173)&lt;&gt;Settings!$B$4,"Date outside tax year. ",IF(A173&gt;TODAY(),"Date is in the future. ","")))))</f>
        <v/>
      </c>
      <c r="L173" s="15" t="str">
        <f aca="false">IF(NOT(COUNTA($A173:$H173)&gt;0),"",IF(E173="","Missing amount. ",IF(NOT(ISNUMBER(E173)),"Amount is not a number. ",IF(E173&lt;=0,"Amount must be above zero. ",""))))</f>
        <v/>
      </c>
      <c r="M173" s="15" t="str">
        <f aca="false">IF(NOT(COUNTA($A173:$H173)&gt;0),"",IF(D173="","Missing category. ",IF(COUNTIF(Settings!$B$11:$B$40,D173)=0,"Category not in your list. ","")))</f>
        <v/>
      </c>
      <c r="N173" s="15" t="str">
        <f aca="false">IF(AND(ISNUMBER(A173),ISNUMBER(E173),B173&lt;&gt;""),IF(COUNTIFS($A$6:$A$505,A173,$B$6:$B$505,B173,$E$6:$E$505,E173)&gt;1,"Possible duplicate. ",""),"")</f>
        <v/>
      </c>
      <c r="O173" s="15" t="str">
        <f aca="false">IF(AND(ISNUMBER(E173),E173&gt;=Settings!$B$6,G173&lt;&gt;"Yes"),"Receipt not marked as saved. ","")</f>
        <v/>
      </c>
      <c r="P173" s="15" t="str">
        <f aca="false">IF(AND(ISNUMBER(E173),E173&gt;=Settings!$B$5),"Large amount: review. ","")</f>
        <v/>
      </c>
    </row>
    <row r="174" customFormat="false" ht="15" hidden="false" customHeight="false" outlineLevel="0" collapsed="false">
      <c r="A174" s="10"/>
      <c r="B174" s="11"/>
      <c r="C174" s="11"/>
      <c r="D174" s="11"/>
      <c r="E174" s="12"/>
      <c r="F174" s="11"/>
      <c r="G174" s="11"/>
      <c r="H174" s="11"/>
      <c r="I174" s="13" t="str">
        <f aca="false">IF(NOT(COUNTA($A174:$H174)&gt;0),"",IF(K174&amp;L174&amp;M174&lt;&gt;"","ERROR",IF(N174&amp;O174&amp;P174&lt;&gt;"","CHECK","OK")))</f>
        <v/>
      </c>
      <c r="J174" s="14" t="str">
        <f aca="false">TRIM(K174&amp;L174&amp;M174&amp;N174&amp;O174&amp;P174)</f>
        <v/>
      </c>
      <c r="K174" s="15" t="str">
        <f aca="true">IF(NOT(COUNTA($A174:$H174)&gt;0),"",IF(A174="","Missing date. ",IF(NOT(ISNUMBER(A174)),"Date is not a real date. ",IF(YEAR(A174)&lt;&gt;Settings!$B$4,"Date outside tax year. ",IF(A174&gt;TODAY(),"Date is in the future. ","")))))</f>
        <v/>
      </c>
      <c r="L174" s="15" t="str">
        <f aca="false">IF(NOT(COUNTA($A174:$H174)&gt;0),"",IF(E174="","Missing amount. ",IF(NOT(ISNUMBER(E174)),"Amount is not a number. ",IF(E174&lt;=0,"Amount must be above zero. ",""))))</f>
        <v/>
      </c>
      <c r="M174" s="15" t="str">
        <f aca="false">IF(NOT(COUNTA($A174:$H174)&gt;0),"",IF(D174="","Missing category. ",IF(COUNTIF(Settings!$B$11:$B$40,D174)=0,"Category not in your list. ","")))</f>
        <v/>
      </c>
      <c r="N174" s="15" t="str">
        <f aca="false">IF(AND(ISNUMBER(A174),ISNUMBER(E174),B174&lt;&gt;""),IF(COUNTIFS($A$6:$A$505,A174,$B$6:$B$505,B174,$E$6:$E$505,E174)&gt;1,"Possible duplicate. ",""),"")</f>
        <v/>
      </c>
      <c r="O174" s="15" t="str">
        <f aca="false">IF(AND(ISNUMBER(E174),E174&gt;=Settings!$B$6,G174&lt;&gt;"Yes"),"Receipt not marked as saved. ","")</f>
        <v/>
      </c>
      <c r="P174" s="15" t="str">
        <f aca="false">IF(AND(ISNUMBER(E174),E174&gt;=Settings!$B$5),"Large amount: review. ","")</f>
        <v/>
      </c>
    </row>
    <row r="175" customFormat="false" ht="15" hidden="false" customHeight="false" outlineLevel="0" collapsed="false">
      <c r="A175" s="10"/>
      <c r="B175" s="11"/>
      <c r="C175" s="11"/>
      <c r="D175" s="11"/>
      <c r="E175" s="12"/>
      <c r="F175" s="11"/>
      <c r="G175" s="11"/>
      <c r="H175" s="11"/>
      <c r="I175" s="13" t="str">
        <f aca="false">IF(NOT(COUNTA($A175:$H175)&gt;0),"",IF(K175&amp;L175&amp;M175&lt;&gt;"","ERROR",IF(N175&amp;O175&amp;P175&lt;&gt;"","CHECK","OK")))</f>
        <v/>
      </c>
      <c r="J175" s="14" t="str">
        <f aca="false">TRIM(K175&amp;L175&amp;M175&amp;N175&amp;O175&amp;P175)</f>
        <v/>
      </c>
      <c r="K175" s="15" t="str">
        <f aca="true">IF(NOT(COUNTA($A175:$H175)&gt;0),"",IF(A175="","Missing date. ",IF(NOT(ISNUMBER(A175)),"Date is not a real date. ",IF(YEAR(A175)&lt;&gt;Settings!$B$4,"Date outside tax year. ",IF(A175&gt;TODAY(),"Date is in the future. ","")))))</f>
        <v/>
      </c>
      <c r="L175" s="15" t="str">
        <f aca="false">IF(NOT(COUNTA($A175:$H175)&gt;0),"",IF(E175="","Missing amount. ",IF(NOT(ISNUMBER(E175)),"Amount is not a number. ",IF(E175&lt;=0,"Amount must be above zero. ",""))))</f>
        <v/>
      </c>
      <c r="M175" s="15" t="str">
        <f aca="false">IF(NOT(COUNTA($A175:$H175)&gt;0),"",IF(D175="","Missing category. ",IF(COUNTIF(Settings!$B$11:$B$40,D175)=0,"Category not in your list. ","")))</f>
        <v/>
      </c>
      <c r="N175" s="15" t="str">
        <f aca="false">IF(AND(ISNUMBER(A175),ISNUMBER(E175),B175&lt;&gt;""),IF(COUNTIFS($A$6:$A$505,A175,$B$6:$B$505,B175,$E$6:$E$505,E175)&gt;1,"Possible duplicate. ",""),"")</f>
        <v/>
      </c>
      <c r="O175" s="15" t="str">
        <f aca="false">IF(AND(ISNUMBER(E175),E175&gt;=Settings!$B$6,G175&lt;&gt;"Yes"),"Receipt not marked as saved. ","")</f>
        <v/>
      </c>
      <c r="P175" s="15" t="str">
        <f aca="false">IF(AND(ISNUMBER(E175),E175&gt;=Settings!$B$5),"Large amount: review. ","")</f>
        <v/>
      </c>
    </row>
    <row r="176" customFormat="false" ht="15" hidden="false" customHeight="false" outlineLevel="0" collapsed="false">
      <c r="A176" s="10"/>
      <c r="B176" s="11"/>
      <c r="C176" s="11"/>
      <c r="D176" s="11"/>
      <c r="E176" s="12"/>
      <c r="F176" s="11"/>
      <c r="G176" s="11"/>
      <c r="H176" s="11"/>
      <c r="I176" s="13" t="str">
        <f aca="false">IF(NOT(COUNTA($A176:$H176)&gt;0),"",IF(K176&amp;L176&amp;M176&lt;&gt;"","ERROR",IF(N176&amp;O176&amp;P176&lt;&gt;"","CHECK","OK")))</f>
        <v/>
      </c>
      <c r="J176" s="14" t="str">
        <f aca="false">TRIM(K176&amp;L176&amp;M176&amp;N176&amp;O176&amp;P176)</f>
        <v/>
      </c>
      <c r="K176" s="15" t="str">
        <f aca="true">IF(NOT(COUNTA($A176:$H176)&gt;0),"",IF(A176="","Missing date. ",IF(NOT(ISNUMBER(A176)),"Date is not a real date. ",IF(YEAR(A176)&lt;&gt;Settings!$B$4,"Date outside tax year. ",IF(A176&gt;TODAY(),"Date is in the future. ","")))))</f>
        <v/>
      </c>
      <c r="L176" s="15" t="str">
        <f aca="false">IF(NOT(COUNTA($A176:$H176)&gt;0),"",IF(E176="","Missing amount. ",IF(NOT(ISNUMBER(E176)),"Amount is not a number. ",IF(E176&lt;=0,"Amount must be above zero. ",""))))</f>
        <v/>
      </c>
      <c r="M176" s="15" t="str">
        <f aca="false">IF(NOT(COUNTA($A176:$H176)&gt;0),"",IF(D176="","Missing category. ",IF(COUNTIF(Settings!$B$11:$B$40,D176)=0,"Category not in your list. ","")))</f>
        <v/>
      </c>
      <c r="N176" s="15" t="str">
        <f aca="false">IF(AND(ISNUMBER(A176),ISNUMBER(E176),B176&lt;&gt;""),IF(COUNTIFS($A$6:$A$505,A176,$B$6:$B$505,B176,$E$6:$E$505,E176)&gt;1,"Possible duplicate. ",""),"")</f>
        <v/>
      </c>
      <c r="O176" s="15" t="str">
        <f aca="false">IF(AND(ISNUMBER(E176),E176&gt;=Settings!$B$6,G176&lt;&gt;"Yes"),"Receipt not marked as saved. ","")</f>
        <v/>
      </c>
      <c r="P176" s="15" t="str">
        <f aca="false">IF(AND(ISNUMBER(E176),E176&gt;=Settings!$B$5),"Large amount: review. ","")</f>
        <v/>
      </c>
    </row>
    <row r="177" customFormat="false" ht="15" hidden="false" customHeight="false" outlineLevel="0" collapsed="false">
      <c r="A177" s="10"/>
      <c r="B177" s="11"/>
      <c r="C177" s="11"/>
      <c r="D177" s="11"/>
      <c r="E177" s="12"/>
      <c r="F177" s="11"/>
      <c r="G177" s="11"/>
      <c r="H177" s="11"/>
      <c r="I177" s="13" t="str">
        <f aca="false">IF(NOT(COUNTA($A177:$H177)&gt;0),"",IF(K177&amp;L177&amp;M177&lt;&gt;"","ERROR",IF(N177&amp;O177&amp;P177&lt;&gt;"","CHECK","OK")))</f>
        <v/>
      </c>
      <c r="J177" s="14" t="str">
        <f aca="false">TRIM(K177&amp;L177&amp;M177&amp;N177&amp;O177&amp;P177)</f>
        <v/>
      </c>
      <c r="K177" s="15" t="str">
        <f aca="true">IF(NOT(COUNTA($A177:$H177)&gt;0),"",IF(A177="","Missing date. ",IF(NOT(ISNUMBER(A177)),"Date is not a real date. ",IF(YEAR(A177)&lt;&gt;Settings!$B$4,"Date outside tax year. ",IF(A177&gt;TODAY(),"Date is in the future. ","")))))</f>
        <v/>
      </c>
      <c r="L177" s="15" t="str">
        <f aca="false">IF(NOT(COUNTA($A177:$H177)&gt;0),"",IF(E177="","Missing amount. ",IF(NOT(ISNUMBER(E177)),"Amount is not a number. ",IF(E177&lt;=0,"Amount must be above zero. ",""))))</f>
        <v/>
      </c>
      <c r="M177" s="15" t="str">
        <f aca="false">IF(NOT(COUNTA($A177:$H177)&gt;0),"",IF(D177="","Missing category. ",IF(COUNTIF(Settings!$B$11:$B$40,D177)=0,"Category not in your list. ","")))</f>
        <v/>
      </c>
      <c r="N177" s="15" t="str">
        <f aca="false">IF(AND(ISNUMBER(A177),ISNUMBER(E177),B177&lt;&gt;""),IF(COUNTIFS($A$6:$A$505,A177,$B$6:$B$505,B177,$E$6:$E$505,E177)&gt;1,"Possible duplicate. ",""),"")</f>
        <v/>
      </c>
      <c r="O177" s="15" t="str">
        <f aca="false">IF(AND(ISNUMBER(E177),E177&gt;=Settings!$B$6,G177&lt;&gt;"Yes"),"Receipt not marked as saved. ","")</f>
        <v/>
      </c>
      <c r="P177" s="15" t="str">
        <f aca="false">IF(AND(ISNUMBER(E177),E177&gt;=Settings!$B$5),"Large amount: review. ","")</f>
        <v/>
      </c>
    </row>
    <row r="178" customFormat="false" ht="15" hidden="false" customHeight="false" outlineLevel="0" collapsed="false">
      <c r="A178" s="10"/>
      <c r="B178" s="11"/>
      <c r="C178" s="11"/>
      <c r="D178" s="11"/>
      <c r="E178" s="12"/>
      <c r="F178" s="11"/>
      <c r="G178" s="11"/>
      <c r="H178" s="11"/>
      <c r="I178" s="13" t="str">
        <f aca="false">IF(NOT(COUNTA($A178:$H178)&gt;0),"",IF(K178&amp;L178&amp;M178&lt;&gt;"","ERROR",IF(N178&amp;O178&amp;P178&lt;&gt;"","CHECK","OK")))</f>
        <v/>
      </c>
      <c r="J178" s="14" t="str">
        <f aca="false">TRIM(K178&amp;L178&amp;M178&amp;N178&amp;O178&amp;P178)</f>
        <v/>
      </c>
      <c r="K178" s="15" t="str">
        <f aca="true">IF(NOT(COUNTA($A178:$H178)&gt;0),"",IF(A178="","Missing date. ",IF(NOT(ISNUMBER(A178)),"Date is not a real date. ",IF(YEAR(A178)&lt;&gt;Settings!$B$4,"Date outside tax year. ",IF(A178&gt;TODAY(),"Date is in the future. ","")))))</f>
        <v/>
      </c>
      <c r="L178" s="15" t="str">
        <f aca="false">IF(NOT(COUNTA($A178:$H178)&gt;0),"",IF(E178="","Missing amount. ",IF(NOT(ISNUMBER(E178)),"Amount is not a number. ",IF(E178&lt;=0,"Amount must be above zero. ",""))))</f>
        <v/>
      </c>
      <c r="M178" s="15" t="str">
        <f aca="false">IF(NOT(COUNTA($A178:$H178)&gt;0),"",IF(D178="","Missing category. ",IF(COUNTIF(Settings!$B$11:$B$40,D178)=0,"Category not in your list. ","")))</f>
        <v/>
      </c>
      <c r="N178" s="15" t="str">
        <f aca="false">IF(AND(ISNUMBER(A178),ISNUMBER(E178),B178&lt;&gt;""),IF(COUNTIFS($A$6:$A$505,A178,$B$6:$B$505,B178,$E$6:$E$505,E178)&gt;1,"Possible duplicate. ",""),"")</f>
        <v/>
      </c>
      <c r="O178" s="15" t="str">
        <f aca="false">IF(AND(ISNUMBER(E178),E178&gt;=Settings!$B$6,G178&lt;&gt;"Yes"),"Receipt not marked as saved. ","")</f>
        <v/>
      </c>
      <c r="P178" s="15" t="str">
        <f aca="false">IF(AND(ISNUMBER(E178),E178&gt;=Settings!$B$5),"Large amount: review. ","")</f>
        <v/>
      </c>
    </row>
    <row r="179" customFormat="false" ht="15" hidden="false" customHeight="false" outlineLevel="0" collapsed="false">
      <c r="A179" s="10"/>
      <c r="B179" s="11"/>
      <c r="C179" s="11"/>
      <c r="D179" s="11"/>
      <c r="E179" s="12"/>
      <c r="F179" s="11"/>
      <c r="G179" s="11"/>
      <c r="H179" s="11"/>
      <c r="I179" s="13" t="str">
        <f aca="false">IF(NOT(COUNTA($A179:$H179)&gt;0),"",IF(K179&amp;L179&amp;M179&lt;&gt;"","ERROR",IF(N179&amp;O179&amp;P179&lt;&gt;"","CHECK","OK")))</f>
        <v/>
      </c>
      <c r="J179" s="14" t="str">
        <f aca="false">TRIM(K179&amp;L179&amp;M179&amp;N179&amp;O179&amp;P179)</f>
        <v/>
      </c>
      <c r="K179" s="15" t="str">
        <f aca="true">IF(NOT(COUNTA($A179:$H179)&gt;0),"",IF(A179="","Missing date. ",IF(NOT(ISNUMBER(A179)),"Date is not a real date. ",IF(YEAR(A179)&lt;&gt;Settings!$B$4,"Date outside tax year. ",IF(A179&gt;TODAY(),"Date is in the future. ","")))))</f>
        <v/>
      </c>
      <c r="L179" s="15" t="str">
        <f aca="false">IF(NOT(COUNTA($A179:$H179)&gt;0),"",IF(E179="","Missing amount. ",IF(NOT(ISNUMBER(E179)),"Amount is not a number. ",IF(E179&lt;=0,"Amount must be above zero. ",""))))</f>
        <v/>
      </c>
      <c r="M179" s="15" t="str">
        <f aca="false">IF(NOT(COUNTA($A179:$H179)&gt;0),"",IF(D179="","Missing category. ",IF(COUNTIF(Settings!$B$11:$B$40,D179)=0,"Category not in your list. ","")))</f>
        <v/>
      </c>
      <c r="N179" s="15" t="str">
        <f aca="false">IF(AND(ISNUMBER(A179),ISNUMBER(E179),B179&lt;&gt;""),IF(COUNTIFS($A$6:$A$505,A179,$B$6:$B$505,B179,$E$6:$E$505,E179)&gt;1,"Possible duplicate. ",""),"")</f>
        <v/>
      </c>
      <c r="O179" s="15" t="str">
        <f aca="false">IF(AND(ISNUMBER(E179),E179&gt;=Settings!$B$6,G179&lt;&gt;"Yes"),"Receipt not marked as saved. ","")</f>
        <v/>
      </c>
      <c r="P179" s="15" t="str">
        <f aca="false">IF(AND(ISNUMBER(E179),E179&gt;=Settings!$B$5),"Large amount: review. ","")</f>
        <v/>
      </c>
    </row>
    <row r="180" customFormat="false" ht="15" hidden="false" customHeight="false" outlineLevel="0" collapsed="false">
      <c r="A180" s="10"/>
      <c r="B180" s="11"/>
      <c r="C180" s="11"/>
      <c r="D180" s="11"/>
      <c r="E180" s="12"/>
      <c r="F180" s="11"/>
      <c r="G180" s="11"/>
      <c r="H180" s="11"/>
      <c r="I180" s="13" t="str">
        <f aca="false">IF(NOT(COUNTA($A180:$H180)&gt;0),"",IF(K180&amp;L180&amp;M180&lt;&gt;"","ERROR",IF(N180&amp;O180&amp;P180&lt;&gt;"","CHECK","OK")))</f>
        <v/>
      </c>
      <c r="J180" s="14" t="str">
        <f aca="false">TRIM(K180&amp;L180&amp;M180&amp;N180&amp;O180&amp;P180)</f>
        <v/>
      </c>
      <c r="K180" s="15" t="str">
        <f aca="true">IF(NOT(COUNTA($A180:$H180)&gt;0),"",IF(A180="","Missing date. ",IF(NOT(ISNUMBER(A180)),"Date is not a real date. ",IF(YEAR(A180)&lt;&gt;Settings!$B$4,"Date outside tax year. ",IF(A180&gt;TODAY(),"Date is in the future. ","")))))</f>
        <v/>
      </c>
      <c r="L180" s="15" t="str">
        <f aca="false">IF(NOT(COUNTA($A180:$H180)&gt;0),"",IF(E180="","Missing amount. ",IF(NOT(ISNUMBER(E180)),"Amount is not a number. ",IF(E180&lt;=0,"Amount must be above zero. ",""))))</f>
        <v/>
      </c>
      <c r="M180" s="15" t="str">
        <f aca="false">IF(NOT(COUNTA($A180:$H180)&gt;0),"",IF(D180="","Missing category. ",IF(COUNTIF(Settings!$B$11:$B$40,D180)=0,"Category not in your list. ","")))</f>
        <v/>
      </c>
      <c r="N180" s="15" t="str">
        <f aca="false">IF(AND(ISNUMBER(A180),ISNUMBER(E180),B180&lt;&gt;""),IF(COUNTIFS($A$6:$A$505,A180,$B$6:$B$505,B180,$E$6:$E$505,E180)&gt;1,"Possible duplicate. ",""),"")</f>
        <v/>
      </c>
      <c r="O180" s="15" t="str">
        <f aca="false">IF(AND(ISNUMBER(E180),E180&gt;=Settings!$B$6,G180&lt;&gt;"Yes"),"Receipt not marked as saved. ","")</f>
        <v/>
      </c>
      <c r="P180" s="15" t="str">
        <f aca="false">IF(AND(ISNUMBER(E180),E180&gt;=Settings!$B$5),"Large amount: review. ","")</f>
        <v/>
      </c>
    </row>
    <row r="181" customFormat="false" ht="15" hidden="false" customHeight="false" outlineLevel="0" collapsed="false">
      <c r="A181" s="10"/>
      <c r="B181" s="11"/>
      <c r="C181" s="11"/>
      <c r="D181" s="11"/>
      <c r="E181" s="12"/>
      <c r="F181" s="11"/>
      <c r="G181" s="11"/>
      <c r="H181" s="11"/>
      <c r="I181" s="13" t="str">
        <f aca="false">IF(NOT(COUNTA($A181:$H181)&gt;0),"",IF(K181&amp;L181&amp;M181&lt;&gt;"","ERROR",IF(N181&amp;O181&amp;P181&lt;&gt;"","CHECK","OK")))</f>
        <v/>
      </c>
      <c r="J181" s="14" t="str">
        <f aca="false">TRIM(K181&amp;L181&amp;M181&amp;N181&amp;O181&amp;P181)</f>
        <v/>
      </c>
      <c r="K181" s="15" t="str">
        <f aca="true">IF(NOT(COUNTA($A181:$H181)&gt;0),"",IF(A181="","Missing date. ",IF(NOT(ISNUMBER(A181)),"Date is not a real date. ",IF(YEAR(A181)&lt;&gt;Settings!$B$4,"Date outside tax year. ",IF(A181&gt;TODAY(),"Date is in the future. ","")))))</f>
        <v/>
      </c>
      <c r="L181" s="15" t="str">
        <f aca="false">IF(NOT(COUNTA($A181:$H181)&gt;0),"",IF(E181="","Missing amount. ",IF(NOT(ISNUMBER(E181)),"Amount is not a number. ",IF(E181&lt;=0,"Amount must be above zero. ",""))))</f>
        <v/>
      </c>
      <c r="M181" s="15" t="str">
        <f aca="false">IF(NOT(COUNTA($A181:$H181)&gt;0),"",IF(D181="","Missing category. ",IF(COUNTIF(Settings!$B$11:$B$40,D181)=0,"Category not in your list. ","")))</f>
        <v/>
      </c>
      <c r="N181" s="15" t="str">
        <f aca="false">IF(AND(ISNUMBER(A181),ISNUMBER(E181),B181&lt;&gt;""),IF(COUNTIFS($A$6:$A$505,A181,$B$6:$B$505,B181,$E$6:$E$505,E181)&gt;1,"Possible duplicate. ",""),"")</f>
        <v/>
      </c>
      <c r="O181" s="15" t="str">
        <f aca="false">IF(AND(ISNUMBER(E181),E181&gt;=Settings!$B$6,G181&lt;&gt;"Yes"),"Receipt not marked as saved. ","")</f>
        <v/>
      </c>
      <c r="P181" s="15" t="str">
        <f aca="false">IF(AND(ISNUMBER(E181),E181&gt;=Settings!$B$5),"Large amount: review. ","")</f>
        <v/>
      </c>
    </row>
    <row r="182" customFormat="false" ht="15" hidden="false" customHeight="false" outlineLevel="0" collapsed="false">
      <c r="A182" s="10"/>
      <c r="B182" s="11"/>
      <c r="C182" s="11"/>
      <c r="D182" s="11"/>
      <c r="E182" s="12"/>
      <c r="F182" s="11"/>
      <c r="G182" s="11"/>
      <c r="H182" s="11"/>
      <c r="I182" s="13" t="str">
        <f aca="false">IF(NOT(COUNTA($A182:$H182)&gt;0),"",IF(K182&amp;L182&amp;M182&lt;&gt;"","ERROR",IF(N182&amp;O182&amp;P182&lt;&gt;"","CHECK","OK")))</f>
        <v/>
      </c>
      <c r="J182" s="14" t="str">
        <f aca="false">TRIM(K182&amp;L182&amp;M182&amp;N182&amp;O182&amp;P182)</f>
        <v/>
      </c>
      <c r="K182" s="15" t="str">
        <f aca="true">IF(NOT(COUNTA($A182:$H182)&gt;0),"",IF(A182="","Missing date. ",IF(NOT(ISNUMBER(A182)),"Date is not a real date. ",IF(YEAR(A182)&lt;&gt;Settings!$B$4,"Date outside tax year. ",IF(A182&gt;TODAY(),"Date is in the future. ","")))))</f>
        <v/>
      </c>
      <c r="L182" s="15" t="str">
        <f aca="false">IF(NOT(COUNTA($A182:$H182)&gt;0),"",IF(E182="","Missing amount. ",IF(NOT(ISNUMBER(E182)),"Amount is not a number. ",IF(E182&lt;=0,"Amount must be above zero. ",""))))</f>
        <v/>
      </c>
      <c r="M182" s="15" t="str">
        <f aca="false">IF(NOT(COUNTA($A182:$H182)&gt;0),"",IF(D182="","Missing category. ",IF(COUNTIF(Settings!$B$11:$B$40,D182)=0,"Category not in your list. ","")))</f>
        <v/>
      </c>
      <c r="N182" s="15" t="str">
        <f aca="false">IF(AND(ISNUMBER(A182),ISNUMBER(E182),B182&lt;&gt;""),IF(COUNTIFS($A$6:$A$505,A182,$B$6:$B$505,B182,$E$6:$E$505,E182)&gt;1,"Possible duplicate. ",""),"")</f>
        <v/>
      </c>
      <c r="O182" s="15" t="str">
        <f aca="false">IF(AND(ISNUMBER(E182),E182&gt;=Settings!$B$6,G182&lt;&gt;"Yes"),"Receipt not marked as saved. ","")</f>
        <v/>
      </c>
      <c r="P182" s="15" t="str">
        <f aca="false">IF(AND(ISNUMBER(E182),E182&gt;=Settings!$B$5),"Large amount: review. ","")</f>
        <v/>
      </c>
    </row>
    <row r="183" customFormat="false" ht="15" hidden="false" customHeight="false" outlineLevel="0" collapsed="false">
      <c r="A183" s="10"/>
      <c r="B183" s="11"/>
      <c r="C183" s="11"/>
      <c r="D183" s="11"/>
      <c r="E183" s="12"/>
      <c r="F183" s="11"/>
      <c r="G183" s="11"/>
      <c r="H183" s="11"/>
      <c r="I183" s="13" t="str">
        <f aca="false">IF(NOT(COUNTA($A183:$H183)&gt;0),"",IF(K183&amp;L183&amp;M183&lt;&gt;"","ERROR",IF(N183&amp;O183&amp;P183&lt;&gt;"","CHECK","OK")))</f>
        <v/>
      </c>
      <c r="J183" s="14" t="str">
        <f aca="false">TRIM(K183&amp;L183&amp;M183&amp;N183&amp;O183&amp;P183)</f>
        <v/>
      </c>
      <c r="K183" s="15" t="str">
        <f aca="true">IF(NOT(COUNTA($A183:$H183)&gt;0),"",IF(A183="","Missing date. ",IF(NOT(ISNUMBER(A183)),"Date is not a real date. ",IF(YEAR(A183)&lt;&gt;Settings!$B$4,"Date outside tax year. ",IF(A183&gt;TODAY(),"Date is in the future. ","")))))</f>
        <v/>
      </c>
      <c r="L183" s="15" t="str">
        <f aca="false">IF(NOT(COUNTA($A183:$H183)&gt;0),"",IF(E183="","Missing amount. ",IF(NOT(ISNUMBER(E183)),"Amount is not a number. ",IF(E183&lt;=0,"Amount must be above zero. ",""))))</f>
        <v/>
      </c>
      <c r="M183" s="15" t="str">
        <f aca="false">IF(NOT(COUNTA($A183:$H183)&gt;0),"",IF(D183="","Missing category. ",IF(COUNTIF(Settings!$B$11:$B$40,D183)=0,"Category not in your list. ","")))</f>
        <v/>
      </c>
      <c r="N183" s="15" t="str">
        <f aca="false">IF(AND(ISNUMBER(A183),ISNUMBER(E183),B183&lt;&gt;""),IF(COUNTIFS($A$6:$A$505,A183,$B$6:$B$505,B183,$E$6:$E$505,E183)&gt;1,"Possible duplicate. ",""),"")</f>
        <v/>
      </c>
      <c r="O183" s="15" t="str">
        <f aca="false">IF(AND(ISNUMBER(E183),E183&gt;=Settings!$B$6,G183&lt;&gt;"Yes"),"Receipt not marked as saved. ","")</f>
        <v/>
      </c>
      <c r="P183" s="15" t="str">
        <f aca="false">IF(AND(ISNUMBER(E183),E183&gt;=Settings!$B$5),"Large amount: review. ","")</f>
        <v/>
      </c>
    </row>
    <row r="184" customFormat="false" ht="15" hidden="false" customHeight="false" outlineLevel="0" collapsed="false">
      <c r="A184" s="10"/>
      <c r="B184" s="11"/>
      <c r="C184" s="11"/>
      <c r="D184" s="11"/>
      <c r="E184" s="12"/>
      <c r="F184" s="11"/>
      <c r="G184" s="11"/>
      <c r="H184" s="11"/>
      <c r="I184" s="13" t="str">
        <f aca="false">IF(NOT(COUNTA($A184:$H184)&gt;0),"",IF(K184&amp;L184&amp;M184&lt;&gt;"","ERROR",IF(N184&amp;O184&amp;P184&lt;&gt;"","CHECK","OK")))</f>
        <v/>
      </c>
      <c r="J184" s="14" t="str">
        <f aca="false">TRIM(K184&amp;L184&amp;M184&amp;N184&amp;O184&amp;P184)</f>
        <v/>
      </c>
      <c r="K184" s="15" t="str">
        <f aca="true">IF(NOT(COUNTA($A184:$H184)&gt;0),"",IF(A184="","Missing date. ",IF(NOT(ISNUMBER(A184)),"Date is not a real date. ",IF(YEAR(A184)&lt;&gt;Settings!$B$4,"Date outside tax year. ",IF(A184&gt;TODAY(),"Date is in the future. ","")))))</f>
        <v/>
      </c>
      <c r="L184" s="15" t="str">
        <f aca="false">IF(NOT(COUNTA($A184:$H184)&gt;0),"",IF(E184="","Missing amount. ",IF(NOT(ISNUMBER(E184)),"Amount is not a number. ",IF(E184&lt;=0,"Amount must be above zero. ",""))))</f>
        <v/>
      </c>
      <c r="M184" s="15" t="str">
        <f aca="false">IF(NOT(COUNTA($A184:$H184)&gt;0),"",IF(D184="","Missing category. ",IF(COUNTIF(Settings!$B$11:$B$40,D184)=0,"Category not in your list. ","")))</f>
        <v/>
      </c>
      <c r="N184" s="15" t="str">
        <f aca="false">IF(AND(ISNUMBER(A184),ISNUMBER(E184),B184&lt;&gt;""),IF(COUNTIFS($A$6:$A$505,A184,$B$6:$B$505,B184,$E$6:$E$505,E184)&gt;1,"Possible duplicate. ",""),"")</f>
        <v/>
      </c>
      <c r="O184" s="15" t="str">
        <f aca="false">IF(AND(ISNUMBER(E184),E184&gt;=Settings!$B$6,G184&lt;&gt;"Yes"),"Receipt not marked as saved. ","")</f>
        <v/>
      </c>
      <c r="P184" s="15" t="str">
        <f aca="false">IF(AND(ISNUMBER(E184),E184&gt;=Settings!$B$5),"Large amount: review. ","")</f>
        <v/>
      </c>
    </row>
    <row r="185" customFormat="false" ht="15" hidden="false" customHeight="false" outlineLevel="0" collapsed="false">
      <c r="A185" s="10"/>
      <c r="B185" s="11"/>
      <c r="C185" s="11"/>
      <c r="D185" s="11"/>
      <c r="E185" s="12"/>
      <c r="F185" s="11"/>
      <c r="G185" s="11"/>
      <c r="H185" s="11"/>
      <c r="I185" s="13" t="str">
        <f aca="false">IF(NOT(COUNTA($A185:$H185)&gt;0),"",IF(K185&amp;L185&amp;M185&lt;&gt;"","ERROR",IF(N185&amp;O185&amp;P185&lt;&gt;"","CHECK","OK")))</f>
        <v/>
      </c>
      <c r="J185" s="14" t="str">
        <f aca="false">TRIM(K185&amp;L185&amp;M185&amp;N185&amp;O185&amp;P185)</f>
        <v/>
      </c>
      <c r="K185" s="15" t="str">
        <f aca="true">IF(NOT(COUNTA($A185:$H185)&gt;0),"",IF(A185="","Missing date. ",IF(NOT(ISNUMBER(A185)),"Date is not a real date. ",IF(YEAR(A185)&lt;&gt;Settings!$B$4,"Date outside tax year. ",IF(A185&gt;TODAY(),"Date is in the future. ","")))))</f>
        <v/>
      </c>
      <c r="L185" s="15" t="str">
        <f aca="false">IF(NOT(COUNTA($A185:$H185)&gt;0),"",IF(E185="","Missing amount. ",IF(NOT(ISNUMBER(E185)),"Amount is not a number. ",IF(E185&lt;=0,"Amount must be above zero. ",""))))</f>
        <v/>
      </c>
      <c r="M185" s="15" t="str">
        <f aca="false">IF(NOT(COUNTA($A185:$H185)&gt;0),"",IF(D185="","Missing category. ",IF(COUNTIF(Settings!$B$11:$B$40,D185)=0,"Category not in your list. ","")))</f>
        <v/>
      </c>
      <c r="N185" s="15" t="str">
        <f aca="false">IF(AND(ISNUMBER(A185),ISNUMBER(E185),B185&lt;&gt;""),IF(COUNTIFS($A$6:$A$505,A185,$B$6:$B$505,B185,$E$6:$E$505,E185)&gt;1,"Possible duplicate. ",""),"")</f>
        <v/>
      </c>
      <c r="O185" s="15" t="str">
        <f aca="false">IF(AND(ISNUMBER(E185),E185&gt;=Settings!$B$6,G185&lt;&gt;"Yes"),"Receipt not marked as saved. ","")</f>
        <v/>
      </c>
      <c r="P185" s="15" t="str">
        <f aca="false">IF(AND(ISNUMBER(E185),E185&gt;=Settings!$B$5),"Large amount: review. ","")</f>
        <v/>
      </c>
    </row>
    <row r="186" customFormat="false" ht="15" hidden="false" customHeight="false" outlineLevel="0" collapsed="false">
      <c r="A186" s="10"/>
      <c r="B186" s="11"/>
      <c r="C186" s="11"/>
      <c r="D186" s="11"/>
      <c r="E186" s="12"/>
      <c r="F186" s="11"/>
      <c r="G186" s="11"/>
      <c r="H186" s="11"/>
      <c r="I186" s="13" t="str">
        <f aca="false">IF(NOT(COUNTA($A186:$H186)&gt;0),"",IF(K186&amp;L186&amp;M186&lt;&gt;"","ERROR",IF(N186&amp;O186&amp;P186&lt;&gt;"","CHECK","OK")))</f>
        <v/>
      </c>
      <c r="J186" s="14" t="str">
        <f aca="false">TRIM(K186&amp;L186&amp;M186&amp;N186&amp;O186&amp;P186)</f>
        <v/>
      </c>
      <c r="K186" s="15" t="str">
        <f aca="true">IF(NOT(COUNTA($A186:$H186)&gt;0),"",IF(A186="","Missing date. ",IF(NOT(ISNUMBER(A186)),"Date is not a real date. ",IF(YEAR(A186)&lt;&gt;Settings!$B$4,"Date outside tax year. ",IF(A186&gt;TODAY(),"Date is in the future. ","")))))</f>
        <v/>
      </c>
      <c r="L186" s="15" t="str">
        <f aca="false">IF(NOT(COUNTA($A186:$H186)&gt;0),"",IF(E186="","Missing amount. ",IF(NOT(ISNUMBER(E186)),"Amount is not a number. ",IF(E186&lt;=0,"Amount must be above zero. ",""))))</f>
        <v/>
      </c>
      <c r="M186" s="15" t="str">
        <f aca="false">IF(NOT(COUNTA($A186:$H186)&gt;0),"",IF(D186="","Missing category. ",IF(COUNTIF(Settings!$B$11:$B$40,D186)=0,"Category not in your list. ","")))</f>
        <v/>
      </c>
      <c r="N186" s="15" t="str">
        <f aca="false">IF(AND(ISNUMBER(A186),ISNUMBER(E186),B186&lt;&gt;""),IF(COUNTIFS($A$6:$A$505,A186,$B$6:$B$505,B186,$E$6:$E$505,E186)&gt;1,"Possible duplicate. ",""),"")</f>
        <v/>
      </c>
      <c r="O186" s="15" t="str">
        <f aca="false">IF(AND(ISNUMBER(E186),E186&gt;=Settings!$B$6,G186&lt;&gt;"Yes"),"Receipt not marked as saved. ","")</f>
        <v/>
      </c>
      <c r="P186" s="15" t="str">
        <f aca="false">IF(AND(ISNUMBER(E186),E186&gt;=Settings!$B$5),"Large amount: review. ","")</f>
        <v/>
      </c>
    </row>
    <row r="187" customFormat="false" ht="15" hidden="false" customHeight="false" outlineLevel="0" collapsed="false">
      <c r="A187" s="10"/>
      <c r="B187" s="11"/>
      <c r="C187" s="11"/>
      <c r="D187" s="11"/>
      <c r="E187" s="12"/>
      <c r="F187" s="11"/>
      <c r="G187" s="11"/>
      <c r="H187" s="11"/>
      <c r="I187" s="13" t="str">
        <f aca="false">IF(NOT(COUNTA($A187:$H187)&gt;0),"",IF(K187&amp;L187&amp;M187&lt;&gt;"","ERROR",IF(N187&amp;O187&amp;P187&lt;&gt;"","CHECK","OK")))</f>
        <v/>
      </c>
      <c r="J187" s="14" t="str">
        <f aca="false">TRIM(K187&amp;L187&amp;M187&amp;N187&amp;O187&amp;P187)</f>
        <v/>
      </c>
      <c r="K187" s="15" t="str">
        <f aca="true">IF(NOT(COUNTA($A187:$H187)&gt;0),"",IF(A187="","Missing date. ",IF(NOT(ISNUMBER(A187)),"Date is not a real date. ",IF(YEAR(A187)&lt;&gt;Settings!$B$4,"Date outside tax year. ",IF(A187&gt;TODAY(),"Date is in the future. ","")))))</f>
        <v/>
      </c>
      <c r="L187" s="15" t="str">
        <f aca="false">IF(NOT(COUNTA($A187:$H187)&gt;0),"",IF(E187="","Missing amount. ",IF(NOT(ISNUMBER(E187)),"Amount is not a number. ",IF(E187&lt;=0,"Amount must be above zero. ",""))))</f>
        <v/>
      </c>
      <c r="M187" s="15" t="str">
        <f aca="false">IF(NOT(COUNTA($A187:$H187)&gt;0),"",IF(D187="","Missing category. ",IF(COUNTIF(Settings!$B$11:$B$40,D187)=0,"Category not in your list. ","")))</f>
        <v/>
      </c>
      <c r="N187" s="15" t="str">
        <f aca="false">IF(AND(ISNUMBER(A187),ISNUMBER(E187),B187&lt;&gt;""),IF(COUNTIFS($A$6:$A$505,A187,$B$6:$B$505,B187,$E$6:$E$505,E187)&gt;1,"Possible duplicate. ",""),"")</f>
        <v/>
      </c>
      <c r="O187" s="15" t="str">
        <f aca="false">IF(AND(ISNUMBER(E187),E187&gt;=Settings!$B$6,G187&lt;&gt;"Yes"),"Receipt not marked as saved. ","")</f>
        <v/>
      </c>
      <c r="P187" s="15" t="str">
        <f aca="false">IF(AND(ISNUMBER(E187),E187&gt;=Settings!$B$5),"Large amount: review. ","")</f>
        <v/>
      </c>
    </row>
    <row r="188" customFormat="false" ht="15" hidden="false" customHeight="false" outlineLevel="0" collapsed="false">
      <c r="A188" s="10"/>
      <c r="B188" s="11"/>
      <c r="C188" s="11"/>
      <c r="D188" s="11"/>
      <c r="E188" s="12"/>
      <c r="F188" s="11"/>
      <c r="G188" s="11"/>
      <c r="H188" s="11"/>
      <c r="I188" s="13" t="str">
        <f aca="false">IF(NOT(COUNTA($A188:$H188)&gt;0),"",IF(K188&amp;L188&amp;M188&lt;&gt;"","ERROR",IF(N188&amp;O188&amp;P188&lt;&gt;"","CHECK","OK")))</f>
        <v/>
      </c>
      <c r="J188" s="14" t="str">
        <f aca="false">TRIM(K188&amp;L188&amp;M188&amp;N188&amp;O188&amp;P188)</f>
        <v/>
      </c>
      <c r="K188" s="15" t="str">
        <f aca="true">IF(NOT(COUNTA($A188:$H188)&gt;0),"",IF(A188="","Missing date. ",IF(NOT(ISNUMBER(A188)),"Date is not a real date. ",IF(YEAR(A188)&lt;&gt;Settings!$B$4,"Date outside tax year. ",IF(A188&gt;TODAY(),"Date is in the future. ","")))))</f>
        <v/>
      </c>
      <c r="L188" s="15" t="str">
        <f aca="false">IF(NOT(COUNTA($A188:$H188)&gt;0),"",IF(E188="","Missing amount. ",IF(NOT(ISNUMBER(E188)),"Amount is not a number. ",IF(E188&lt;=0,"Amount must be above zero. ",""))))</f>
        <v/>
      </c>
      <c r="M188" s="15" t="str">
        <f aca="false">IF(NOT(COUNTA($A188:$H188)&gt;0),"",IF(D188="","Missing category. ",IF(COUNTIF(Settings!$B$11:$B$40,D188)=0,"Category not in your list. ","")))</f>
        <v/>
      </c>
      <c r="N188" s="15" t="str">
        <f aca="false">IF(AND(ISNUMBER(A188),ISNUMBER(E188),B188&lt;&gt;""),IF(COUNTIFS($A$6:$A$505,A188,$B$6:$B$505,B188,$E$6:$E$505,E188)&gt;1,"Possible duplicate. ",""),"")</f>
        <v/>
      </c>
      <c r="O188" s="15" t="str">
        <f aca="false">IF(AND(ISNUMBER(E188),E188&gt;=Settings!$B$6,G188&lt;&gt;"Yes"),"Receipt not marked as saved. ","")</f>
        <v/>
      </c>
      <c r="P188" s="15" t="str">
        <f aca="false">IF(AND(ISNUMBER(E188),E188&gt;=Settings!$B$5),"Large amount: review. ","")</f>
        <v/>
      </c>
    </row>
    <row r="189" customFormat="false" ht="15" hidden="false" customHeight="false" outlineLevel="0" collapsed="false">
      <c r="A189" s="10"/>
      <c r="B189" s="11"/>
      <c r="C189" s="11"/>
      <c r="D189" s="11"/>
      <c r="E189" s="12"/>
      <c r="F189" s="11"/>
      <c r="G189" s="11"/>
      <c r="H189" s="11"/>
      <c r="I189" s="13" t="str">
        <f aca="false">IF(NOT(COUNTA($A189:$H189)&gt;0),"",IF(K189&amp;L189&amp;M189&lt;&gt;"","ERROR",IF(N189&amp;O189&amp;P189&lt;&gt;"","CHECK","OK")))</f>
        <v/>
      </c>
      <c r="J189" s="14" t="str">
        <f aca="false">TRIM(K189&amp;L189&amp;M189&amp;N189&amp;O189&amp;P189)</f>
        <v/>
      </c>
      <c r="K189" s="15" t="str">
        <f aca="true">IF(NOT(COUNTA($A189:$H189)&gt;0),"",IF(A189="","Missing date. ",IF(NOT(ISNUMBER(A189)),"Date is not a real date. ",IF(YEAR(A189)&lt;&gt;Settings!$B$4,"Date outside tax year. ",IF(A189&gt;TODAY(),"Date is in the future. ","")))))</f>
        <v/>
      </c>
      <c r="L189" s="15" t="str">
        <f aca="false">IF(NOT(COUNTA($A189:$H189)&gt;0),"",IF(E189="","Missing amount. ",IF(NOT(ISNUMBER(E189)),"Amount is not a number. ",IF(E189&lt;=0,"Amount must be above zero. ",""))))</f>
        <v/>
      </c>
      <c r="M189" s="15" t="str">
        <f aca="false">IF(NOT(COUNTA($A189:$H189)&gt;0),"",IF(D189="","Missing category. ",IF(COUNTIF(Settings!$B$11:$B$40,D189)=0,"Category not in your list. ","")))</f>
        <v/>
      </c>
      <c r="N189" s="15" t="str">
        <f aca="false">IF(AND(ISNUMBER(A189),ISNUMBER(E189),B189&lt;&gt;""),IF(COUNTIFS($A$6:$A$505,A189,$B$6:$B$505,B189,$E$6:$E$505,E189)&gt;1,"Possible duplicate. ",""),"")</f>
        <v/>
      </c>
      <c r="O189" s="15" t="str">
        <f aca="false">IF(AND(ISNUMBER(E189),E189&gt;=Settings!$B$6,G189&lt;&gt;"Yes"),"Receipt not marked as saved. ","")</f>
        <v/>
      </c>
      <c r="P189" s="15" t="str">
        <f aca="false">IF(AND(ISNUMBER(E189),E189&gt;=Settings!$B$5),"Large amount: review. ","")</f>
        <v/>
      </c>
    </row>
    <row r="190" customFormat="false" ht="15" hidden="false" customHeight="false" outlineLevel="0" collapsed="false">
      <c r="A190" s="10"/>
      <c r="B190" s="11"/>
      <c r="C190" s="11"/>
      <c r="D190" s="11"/>
      <c r="E190" s="12"/>
      <c r="F190" s="11"/>
      <c r="G190" s="11"/>
      <c r="H190" s="11"/>
      <c r="I190" s="13" t="str">
        <f aca="false">IF(NOT(COUNTA($A190:$H190)&gt;0),"",IF(K190&amp;L190&amp;M190&lt;&gt;"","ERROR",IF(N190&amp;O190&amp;P190&lt;&gt;"","CHECK","OK")))</f>
        <v/>
      </c>
      <c r="J190" s="14" t="str">
        <f aca="false">TRIM(K190&amp;L190&amp;M190&amp;N190&amp;O190&amp;P190)</f>
        <v/>
      </c>
      <c r="K190" s="15" t="str">
        <f aca="true">IF(NOT(COUNTA($A190:$H190)&gt;0),"",IF(A190="","Missing date. ",IF(NOT(ISNUMBER(A190)),"Date is not a real date. ",IF(YEAR(A190)&lt;&gt;Settings!$B$4,"Date outside tax year. ",IF(A190&gt;TODAY(),"Date is in the future. ","")))))</f>
        <v/>
      </c>
      <c r="L190" s="15" t="str">
        <f aca="false">IF(NOT(COUNTA($A190:$H190)&gt;0),"",IF(E190="","Missing amount. ",IF(NOT(ISNUMBER(E190)),"Amount is not a number. ",IF(E190&lt;=0,"Amount must be above zero. ",""))))</f>
        <v/>
      </c>
      <c r="M190" s="15" t="str">
        <f aca="false">IF(NOT(COUNTA($A190:$H190)&gt;0),"",IF(D190="","Missing category. ",IF(COUNTIF(Settings!$B$11:$B$40,D190)=0,"Category not in your list. ","")))</f>
        <v/>
      </c>
      <c r="N190" s="15" t="str">
        <f aca="false">IF(AND(ISNUMBER(A190),ISNUMBER(E190),B190&lt;&gt;""),IF(COUNTIFS($A$6:$A$505,A190,$B$6:$B$505,B190,$E$6:$E$505,E190)&gt;1,"Possible duplicate. ",""),"")</f>
        <v/>
      </c>
      <c r="O190" s="15" t="str">
        <f aca="false">IF(AND(ISNUMBER(E190),E190&gt;=Settings!$B$6,G190&lt;&gt;"Yes"),"Receipt not marked as saved. ","")</f>
        <v/>
      </c>
      <c r="P190" s="15" t="str">
        <f aca="false">IF(AND(ISNUMBER(E190),E190&gt;=Settings!$B$5),"Large amount: review. ","")</f>
        <v/>
      </c>
    </row>
    <row r="191" customFormat="false" ht="15" hidden="false" customHeight="false" outlineLevel="0" collapsed="false">
      <c r="A191" s="10"/>
      <c r="B191" s="11"/>
      <c r="C191" s="11"/>
      <c r="D191" s="11"/>
      <c r="E191" s="12"/>
      <c r="F191" s="11"/>
      <c r="G191" s="11"/>
      <c r="H191" s="11"/>
      <c r="I191" s="13" t="str">
        <f aca="false">IF(NOT(COUNTA($A191:$H191)&gt;0),"",IF(K191&amp;L191&amp;M191&lt;&gt;"","ERROR",IF(N191&amp;O191&amp;P191&lt;&gt;"","CHECK","OK")))</f>
        <v/>
      </c>
      <c r="J191" s="14" t="str">
        <f aca="false">TRIM(K191&amp;L191&amp;M191&amp;N191&amp;O191&amp;P191)</f>
        <v/>
      </c>
      <c r="K191" s="15" t="str">
        <f aca="true">IF(NOT(COUNTA($A191:$H191)&gt;0),"",IF(A191="","Missing date. ",IF(NOT(ISNUMBER(A191)),"Date is not a real date. ",IF(YEAR(A191)&lt;&gt;Settings!$B$4,"Date outside tax year. ",IF(A191&gt;TODAY(),"Date is in the future. ","")))))</f>
        <v/>
      </c>
      <c r="L191" s="15" t="str">
        <f aca="false">IF(NOT(COUNTA($A191:$H191)&gt;0),"",IF(E191="","Missing amount. ",IF(NOT(ISNUMBER(E191)),"Amount is not a number. ",IF(E191&lt;=0,"Amount must be above zero. ",""))))</f>
        <v/>
      </c>
      <c r="M191" s="15" t="str">
        <f aca="false">IF(NOT(COUNTA($A191:$H191)&gt;0),"",IF(D191="","Missing category. ",IF(COUNTIF(Settings!$B$11:$B$40,D191)=0,"Category not in your list. ","")))</f>
        <v/>
      </c>
      <c r="N191" s="15" t="str">
        <f aca="false">IF(AND(ISNUMBER(A191),ISNUMBER(E191),B191&lt;&gt;""),IF(COUNTIFS($A$6:$A$505,A191,$B$6:$B$505,B191,$E$6:$E$505,E191)&gt;1,"Possible duplicate. ",""),"")</f>
        <v/>
      </c>
      <c r="O191" s="15" t="str">
        <f aca="false">IF(AND(ISNUMBER(E191),E191&gt;=Settings!$B$6,G191&lt;&gt;"Yes"),"Receipt not marked as saved. ","")</f>
        <v/>
      </c>
      <c r="P191" s="15" t="str">
        <f aca="false">IF(AND(ISNUMBER(E191),E191&gt;=Settings!$B$5),"Large amount: review. ","")</f>
        <v/>
      </c>
    </row>
    <row r="192" customFormat="false" ht="15" hidden="false" customHeight="false" outlineLevel="0" collapsed="false">
      <c r="A192" s="10"/>
      <c r="B192" s="11"/>
      <c r="C192" s="11"/>
      <c r="D192" s="11"/>
      <c r="E192" s="12"/>
      <c r="F192" s="11"/>
      <c r="G192" s="11"/>
      <c r="H192" s="11"/>
      <c r="I192" s="13" t="str">
        <f aca="false">IF(NOT(COUNTA($A192:$H192)&gt;0),"",IF(K192&amp;L192&amp;M192&lt;&gt;"","ERROR",IF(N192&amp;O192&amp;P192&lt;&gt;"","CHECK","OK")))</f>
        <v/>
      </c>
      <c r="J192" s="14" t="str">
        <f aca="false">TRIM(K192&amp;L192&amp;M192&amp;N192&amp;O192&amp;P192)</f>
        <v/>
      </c>
      <c r="K192" s="15" t="str">
        <f aca="true">IF(NOT(COUNTA($A192:$H192)&gt;0),"",IF(A192="","Missing date. ",IF(NOT(ISNUMBER(A192)),"Date is not a real date. ",IF(YEAR(A192)&lt;&gt;Settings!$B$4,"Date outside tax year. ",IF(A192&gt;TODAY(),"Date is in the future. ","")))))</f>
        <v/>
      </c>
      <c r="L192" s="15" t="str">
        <f aca="false">IF(NOT(COUNTA($A192:$H192)&gt;0),"",IF(E192="","Missing amount. ",IF(NOT(ISNUMBER(E192)),"Amount is not a number. ",IF(E192&lt;=0,"Amount must be above zero. ",""))))</f>
        <v/>
      </c>
      <c r="M192" s="15" t="str">
        <f aca="false">IF(NOT(COUNTA($A192:$H192)&gt;0),"",IF(D192="","Missing category. ",IF(COUNTIF(Settings!$B$11:$B$40,D192)=0,"Category not in your list. ","")))</f>
        <v/>
      </c>
      <c r="N192" s="15" t="str">
        <f aca="false">IF(AND(ISNUMBER(A192),ISNUMBER(E192),B192&lt;&gt;""),IF(COUNTIFS($A$6:$A$505,A192,$B$6:$B$505,B192,$E$6:$E$505,E192)&gt;1,"Possible duplicate. ",""),"")</f>
        <v/>
      </c>
      <c r="O192" s="15" t="str">
        <f aca="false">IF(AND(ISNUMBER(E192),E192&gt;=Settings!$B$6,G192&lt;&gt;"Yes"),"Receipt not marked as saved. ","")</f>
        <v/>
      </c>
      <c r="P192" s="15" t="str">
        <f aca="false">IF(AND(ISNUMBER(E192),E192&gt;=Settings!$B$5),"Large amount: review. ","")</f>
        <v/>
      </c>
    </row>
    <row r="193" customFormat="false" ht="15" hidden="false" customHeight="false" outlineLevel="0" collapsed="false">
      <c r="A193" s="10"/>
      <c r="B193" s="11"/>
      <c r="C193" s="11"/>
      <c r="D193" s="11"/>
      <c r="E193" s="12"/>
      <c r="F193" s="11"/>
      <c r="G193" s="11"/>
      <c r="H193" s="11"/>
      <c r="I193" s="13" t="str">
        <f aca="false">IF(NOT(COUNTA($A193:$H193)&gt;0),"",IF(K193&amp;L193&amp;M193&lt;&gt;"","ERROR",IF(N193&amp;O193&amp;P193&lt;&gt;"","CHECK","OK")))</f>
        <v/>
      </c>
      <c r="J193" s="14" t="str">
        <f aca="false">TRIM(K193&amp;L193&amp;M193&amp;N193&amp;O193&amp;P193)</f>
        <v/>
      </c>
      <c r="K193" s="15" t="str">
        <f aca="true">IF(NOT(COUNTA($A193:$H193)&gt;0),"",IF(A193="","Missing date. ",IF(NOT(ISNUMBER(A193)),"Date is not a real date. ",IF(YEAR(A193)&lt;&gt;Settings!$B$4,"Date outside tax year. ",IF(A193&gt;TODAY(),"Date is in the future. ","")))))</f>
        <v/>
      </c>
      <c r="L193" s="15" t="str">
        <f aca="false">IF(NOT(COUNTA($A193:$H193)&gt;0),"",IF(E193="","Missing amount. ",IF(NOT(ISNUMBER(E193)),"Amount is not a number. ",IF(E193&lt;=0,"Amount must be above zero. ",""))))</f>
        <v/>
      </c>
      <c r="M193" s="15" t="str">
        <f aca="false">IF(NOT(COUNTA($A193:$H193)&gt;0),"",IF(D193="","Missing category. ",IF(COUNTIF(Settings!$B$11:$B$40,D193)=0,"Category not in your list. ","")))</f>
        <v/>
      </c>
      <c r="N193" s="15" t="str">
        <f aca="false">IF(AND(ISNUMBER(A193),ISNUMBER(E193),B193&lt;&gt;""),IF(COUNTIFS($A$6:$A$505,A193,$B$6:$B$505,B193,$E$6:$E$505,E193)&gt;1,"Possible duplicate. ",""),"")</f>
        <v/>
      </c>
      <c r="O193" s="15" t="str">
        <f aca="false">IF(AND(ISNUMBER(E193),E193&gt;=Settings!$B$6,G193&lt;&gt;"Yes"),"Receipt not marked as saved. ","")</f>
        <v/>
      </c>
      <c r="P193" s="15" t="str">
        <f aca="false">IF(AND(ISNUMBER(E193),E193&gt;=Settings!$B$5),"Large amount: review. ","")</f>
        <v/>
      </c>
    </row>
    <row r="194" customFormat="false" ht="15" hidden="false" customHeight="false" outlineLevel="0" collapsed="false">
      <c r="A194" s="10"/>
      <c r="B194" s="11"/>
      <c r="C194" s="11"/>
      <c r="D194" s="11"/>
      <c r="E194" s="12"/>
      <c r="F194" s="11"/>
      <c r="G194" s="11"/>
      <c r="H194" s="11"/>
      <c r="I194" s="13" t="str">
        <f aca="false">IF(NOT(COUNTA($A194:$H194)&gt;0),"",IF(K194&amp;L194&amp;M194&lt;&gt;"","ERROR",IF(N194&amp;O194&amp;P194&lt;&gt;"","CHECK","OK")))</f>
        <v/>
      </c>
      <c r="J194" s="14" t="str">
        <f aca="false">TRIM(K194&amp;L194&amp;M194&amp;N194&amp;O194&amp;P194)</f>
        <v/>
      </c>
      <c r="K194" s="15" t="str">
        <f aca="true">IF(NOT(COUNTA($A194:$H194)&gt;0),"",IF(A194="","Missing date. ",IF(NOT(ISNUMBER(A194)),"Date is not a real date. ",IF(YEAR(A194)&lt;&gt;Settings!$B$4,"Date outside tax year. ",IF(A194&gt;TODAY(),"Date is in the future. ","")))))</f>
        <v/>
      </c>
      <c r="L194" s="15" t="str">
        <f aca="false">IF(NOT(COUNTA($A194:$H194)&gt;0),"",IF(E194="","Missing amount. ",IF(NOT(ISNUMBER(E194)),"Amount is not a number. ",IF(E194&lt;=0,"Amount must be above zero. ",""))))</f>
        <v/>
      </c>
      <c r="M194" s="15" t="str">
        <f aca="false">IF(NOT(COUNTA($A194:$H194)&gt;0),"",IF(D194="","Missing category. ",IF(COUNTIF(Settings!$B$11:$B$40,D194)=0,"Category not in your list. ","")))</f>
        <v/>
      </c>
      <c r="N194" s="15" t="str">
        <f aca="false">IF(AND(ISNUMBER(A194),ISNUMBER(E194),B194&lt;&gt;""),IF(COUNTIFS($A$6:$A$505,A194,$B$6:$B$505,B194,$E$6:$E$505,E194)&gt;1,"Possible duplicate. ",""),"")</f>
        <v/>
      </c>
      <c r="O194" s="15" t="str">
        <f aca="false">IF(AND(ISNUMBER(E194),E194&gt;=Settings!$B$6,G194&lt;&gt;"Yes"),"Receipt not marked as saved. ","")</f>
        <v/>
      </c>
      <c r="P194" s="15" t="str">
        <f aca="false">IF(AND(ISNUMBER(E194),E194&gt;=Settings!$B$5),"Large amount: review. ","")</f>
        <v/>
      </c>
    </row>
    <row r="195" customFormat="false" ht="15" hidden="false" customHeight="false" outlineLevel="0" collapsed="false">
      <c r="A195" s="10"/>
      <c r="B195" s="11"/>
      <c r="C195" s="11"/>
      <c r="D195" s="11"/>
      <c r="E195" s="12"/>
      <c r="F195" s="11"/>
      <c r="G195" s="11"/>
      <c r="H195" s="11"/>
      <c r="I195" s="13" t="str">
        <f aca="false">IF(NOT(COUNTA($A195:$H195)&gt;0),"",IF(K195&amp;L195&amp;M195&lt;&gt;"","ERROR",IF(N195&amp;O195&amp;P195&lt;&gt;"","CHECK","OK")))</f>
        <v/>
      </c>
      <c r="J195" s="14" t="str">
        <f aca="false">TRIM(K195&amp;L195&amp;M195&amp;N195&amp;O195&amp;P195)</f>
        <v/>
      </c>
      <c r="K195" s="15" t="str">
        <f aca="true">IF(NOT(COUNTA($A195:$H195)&gt;0),"",IF(A195="","Missing date. ",IF(NOT(ISNUMBER(A195)),"Date is not a real date. ",IF(YEAR(A195)&lt;&gt;Settings!$B$4,"Date outside tax year. ",IF(A195&gt;TODAY(),"Date is in the future. ","")))))</f>
        <v/>
      </c>
      <c r="L195" s="15" t="str">
        <f aca="false">IF(NOT(COUNTA($A195:$H195)&gt;0),"",IF(E195="","Missing amount. ",IF(NOT(ISNUMBER(E195)),"Amount is not a number. ",IF(E195&lt;=0,"Amount must be above zero. ",""))))</f>
        <v/>
      </c>
      <c r="M195" s="15" t="str">
        <f aca="false">IF(NOT(COUNTA($A195:$H195)&gt;0),"",IF(D195="","Missing category. ",IF(COUNTIF(Settings!$B$11:$B$40,D195)=0,"Category not in your list. ","")))</f>
        <v/>
      </c>
      <c r="N195" s="15" t="str">
        <f aca="false">IF(AND(ISNUMBER(A195),ISNUMBER(E195),B195&lt;&gt;""),IF(COUNTIFS($A$6:$A$505,A195,$B$6:$B$505,B195,$E$6:$E$505,E195)&gt;1,"Possible duplicate. ",""),"")</f>
        <v/>
      </c>
      <c r="O195" s="15" t="str">
        <f aca="false">IF(AND(ISNUMBER(E195),E195&gt;=Settings!$B$6,G195&lt;&gt;"Yes"),"Receipt not marked as saved. ","")</f>
        <v/>
      </c>
      <c r="P195" s="15" t="str">
        <f aca="false">IF(AND(ISNUMBER(E195),E195&gt;=Settings!$B$5),"Large amount: review. ","")</f>
        <v/>
      </c>
    </row>
    <row r="196" customFormat="false" ht="15" hidden="false" customHeight="false" outlineLevel="0" collapsed="false">
      <c r="A196" s="10"/>
      <c r="B196" s="11"/>
      <c r="C196" s="11"/>
      <c r="D196" s="11"/>
      <c r="E196" s="12"/>
      <c r="F196" s="11"/>
      <c r="G196" s="11"/>
      <c r="H196" s="11"/>
      <c r="I196" s="13" t="str">
        <f aca="false">IF(NOT(COUNTA($A196:$H196)&gt;0),"",IF(K196&amp;L196&amp;M196&lt;&gt;"","ERROR",IF(N196&amp;O196&amp;P196&lt;&gt;"","CHECK","OK")))</f>
        <v/>
      </c>
      <c r="J196" s="14" t="str">
        <f aca="false">TRIM(K196&amp;L196&amp;M196&amp;N196&amp;O196&amp;P196)</f>
        <v/>
      </c>
      <c r="K196" s="15" t="str">
        <f aca="true">IF(NOT(COUNTA($A196:$H196)&gt;0),"",IF(A196="","Missing date. ",IF(NOT(ISNUMBER(A196)),"Date is not a real date. ",IF(YEAR(A196)&lt;&gt;Settings!$B$4,"Date outside tax year. ",IF(A196&gt;TODAY(),"Date is in the future. ","")))))</f>
        <v/>
      </c>
      <c r="L196" s="15" t="str">
        <f aca="false">IF(NOT(COUNTA($A196:$H196)&gt;0),"",IF(E196="","Missing amount. ",IF(NOT(ISNUMBER(E196)),"Amount is not a number. ",IF(E196&lt;=0,"Amount must be above zero. ",""))))</f>
        <v/>
      </c>
      <c r="M196" s="15" t="str">
        <f aca="false">IF(NOT(COUNTA($A196:$H196)&gt;0),"",IF(D196="","Missing category. ",IF(COUNTIF(Settings!$B$11:$B$40,D196)=0,"Category not in your list. ","")))</f>
        <v/>
      </c>
      <c r="N196" s="15" t="str">
        <f aca="false">IF(AND(ISNUMBER(A196),ISNUMBER(E196),B196&lt;&gt;""),IF(COUNTIFS($A$6:$A$505,A196,$B$6:$B$505,B196,$E$6:$E$505,E196)&gt;1,"Possible duplicate. ",""),"")</f>
        <v/>
      </c>
      <c r="O196" s="15" t="str">
        <f aca="false">IF(AND(ISNUMBER(E196),E196&gt;=Settings!$B$6,G196&lt;&gt;"Yes"),"Receipt not marked as saved. ","")</f>
        <v/>
      </c>
      <c r="P196" s="15" t="str">
        <f aca="false">IF(AND(ISNUMBER(E196),E196&gt;=Settings!$B$5),"Large amount: review. ","")</f>
        <v/>
      </c>
    </row>
    <row r="197" customFormat="false" ht="15" hidden="false" customHeight="false" outlineLevel="0" collapsed="false">
      <c r="A197" s="10"/>
      <c r="B197" s="11"/>
      <c r="C197" s="11"/>
      <c r="D197" s="11"/>
      <c r="E197" s="12"/>
      <c r="F197" s="11"/>
      <c r="G197" s="11"/>
      <c r="H197" s="11"/>
      <c r="I197" s="13" t="str">
        <f aca="false">IF(NOT(COUNTA($A197:$H197)&gt;0),"",IF(K197&amp;L197&amp;M197&lt;&gt;"","ERROR",IF(N197&amp;O197&amp;P197&lt;&gt;"","CHECK","OK")))</f>
        <v/>
      </c>
      <c r="J197" s="14" t="str">
        <f aca="false">TRIM(K197&amp;L197&amp;M197&amp;N197&amp;O197&amp;P197)</f>
        <v/>
      </c>
      <c r="K197" s="15" t="str">
        <f aca="true">IF(NOT(COUNTA($A197:$H197)&gt;0),"",IF(A197="","Missing date. ",IF(NOT(ISNUMBER(A197)),"Date is not a real date. ",IF(YEAR(A197)&lt;&gt;Settings!$B$4,"Date outside tax year. ",IF(A197&gt;TODAY(),"Date is in the future. ","")))))</f>
        <v/>
      </c>
      <c r="L197" s="15" t="str">
        <f aca="false">IF(NOT(COUNTA($A197:$H197)&gt;0),"",IF(E197="","Missing amount. ",IF(NOT(ISNUMBER(E197)),"Amount is not a number. ",IF(E197&lt;=0,"Amount must be above zero. ",""))))</f>
        <v/>
      </c>
      <c r="M197" s="15" t="str">
        <f aca="false">IF(NOT(COUNTA($A197:$H197)&gt;0),"",IF(D197="","Missing category. ",IF(COUNTIF(Settings!$B$11:$B$40,D197)=0,"Category not in your list. ","")))</f>
        <v/>
      </c>
      <c r="N197" s="15" t="str">
        <f aca="false">IF(AND(ISNUMBER(A197),ISNUMBER(E197),B197&lt;&gt;""),IF(COUNTIFS($A$6:$A$505,A197,$B$6:$B$505,B197,$E$6:$E$505,E197)&gt;1,"Possible duplicate. ",""),"")</f>
        <v/>
      </c>
      <c r="O197" s="15" t="str">
        <f aca="false">IF(AND(ISNUMBER(E197),E197&gt;=Settings!$B$6,G197&lt;&gt;"Yes"),"Receipt not marked as saved. ","")</f>
        <v/>
      </c>
      <c r="P197" s="15" t="str">
        <f aca="false">IF(AND(ISNUMBER(E197),E197&gt;=Settings!$B$5),"Large amount: review. ","")</f>
        <v/>
      </c>
    </row>
    <row r="198" customFormat="false" ht="15" hidden="false" customHeight="false" outlineLevel="0" collapsed="false">
      <c r="A198" s="10"/>
      <c r="B198" s="11"/>
      <c r="C198" s="11"/>
      <c r="D198" s="11"/>
      <c r="E198" s="12"/>
      <c r="F198" s="11"/>
      <c r="G198" s="11"/>
      <c r="H198" s="11"/>
      <c r="I198" s="13" t="str">
        <f aca="false">IF(NOT(COUNTA($A198:$H198)&gt;0),"",IF(K198&amp;L198&amp;M198&lt;&gt;"","ERROR",IF(N198&amp;O198&amp;P198&lt;&gt;"","CHECK","OK")))</f>
        <v/>
      </c>
      <c r="J198" s="14" t="str">
        <f aca="false">TRIM(K198&amp;L198&amp;M198&amp;N198&amp;O198&amp;P198)</f>
        <v/>
      </c>
      <c r="K198" s="15" t="str">
        <f aca="true">IF(NOT(COUNTA($A198:$H198)&gt;0),"",IF(A198="","Missing date. ",IF(NOT(ISNUMBER(A198)),"Date is not a real date. ",IF(YEAR(A198)&lt;&gt;Settings!$B$4,"Date outside tax year. ",IF(A198&gt;TODAY(),"Date is in the future. ","")))))</f>
        <v/>
      </c>
      <c r="L198" s="15" t="str">
        <f aca="false">IF(NOT(COUNTA($A198:$H198)&gt;0),"",IF(E198="","Missing amount. ",IF(NOT(ISNUMBER(E198)),"Amount is not a number. ",IF(E198&lt;=0,"Amount must be above zero. ",""))))</f>
        <v/>
      </c>
      <c r="M198" s="15" t="str">
        <f aca="false">IF(NOT(COUNTA($A198:$H198)&gt;0),"",IF(D198="","Missing category. ",IF(COUNTIF(Settings!$B$11:$B$40,D198)=0,"Category not in your list. ","")))</f>
        <v/>
      </c>
      <c r="N198" s="15" t="str">
        <f aca="false">IF(AND(ISNUMBER(A198),ISNUMBER(E198),B198&lt;&gt;""),IF(COUNTIFS($A$6:$A$505,A198,$B$6:$B$505,B198,$E$6:$E$505,E198)&gt;1,"Possible duplicate. ",""),"")</f>
        <v/>
      </c>
      <c r="O198" s="15" t="str">
        <f aca="false">IF(AND(ISNUMBER(E198),E198&gt;=Settings!$B$6,G198&lt;&gt;"Yes"),"Receipt not marked as saved. ","")</f>
        <v/>
      </c>
      <c r="P198" s="15" t="str">
        <f aca="false">IF(AND(ISNUMBER(E198),E198&gt;=Settings!$B$5),"Large amount: review. ","")</f>
        <v/>
      </c>
    </row>
    <row r="199" customFormat="false" ht="15" hidden="false" customHeight="false" outlineLevel="0" collapsed="false">
      <c r="A199" s="10"/>
      <c r="B199" s="11"/>
      <c r="C199" s="11"/>
      <c r="D199" s="11"/>
      <c r="E199" s="12"/>
      <c r="F199" s="11"/>
      <c r="G199" s="11"/>
      <c r="H199" s="11"/>
      <c r="I199" s="13" t="str">
        <f aca="false">IF(NOT(COUNTA($A199:$H199)&gt;0),"",IF(K199&amp;L199&amp;M199&lt;&gt;"","ERROR",IF(N199&amp;O199&amp;P199&lt;&gt;"","CHECK","OK")))</f>
        <v/>
      </c>
      <c r="J199" s="14" t="str">
        <f aca="false">TRIM(K199&amp;L199&amp;M199&amp;N199&amp;O199&amp;P199)</f>
        <v/>
      </c>
      <c r="K199" s="15" t="str">
        <f aca="true">IF(NOT(COUNTA($A199:$H199)&gt;0),"",IF(A199="","Missing date. ",IF(NOT(ISNUMBER(A199)),"Date is not a real date. ",IF(YEAR(A199)&lt;&gt;Settings!$B$4,"Date outside tax year. ",IF(A199&gt;TODAY(),"Date is in the future. ","")))))</f>
        <v/>
      </c>
      <c r="L199" s="15" t="str">
        <f aca="false">IF(NOT(COUNTA($A199:$H199)&gt;0),"",IF(E199="","Missing amount. ",IF(NOT(ISNUMBER(E199)),"Amount is not a number. ",IF(E199&lt;=0,"Amount must be above zero. ",""))))</f>
        <v/>
      </c>
      <c r="M199" s="15" t="str">
        <f aca="false">IF(NOT(COUNTA($A199:$H199)&gt;0),"",IF(D199="","Missing category. ",IF(COUNTIF(Settings!$B$11:$B$40,D199)=0,"Category not in your list. ","")))</f>
        <v/>
      </c>
      <c r="N199" s="15" t="str">
        <f aca="false">IF(AND(ISNUMBER(A199),ISNUMBER(E199),B199&lt;&gt;""),IF(COUNTIFS($A$6:$A$505,A199,$B$6:$B$505,B199,$E$6:$E$505,E199)&gt;1,"Possible duplicate. ",""),"")</f>
        <v/>
      </c>
      <c r="O199" s="15" t="str">
        <f aca="false">IF(AND(ISNUMBER(E199),E199&gt;=Settings!$B$6,G199&lt;&gt;"Yes"),"Receipt not marked as saved. ","")</f>
        <v/>
      </c>
      <c r="P199" s="15" t="str">
        <f aca="false">IF(AND(ISNUMBER(E199),E199&gt;=Settings!$B$5),"Large amount: review. ","")</f>
        <v/>
      </c>
    </row>
    <row r="200" customFormat="false" ht="15" hidden="false" customHeight="false" outlineLevel="0" collapsed="false">
      <c r="A200" s="10"/>
      <c r="B200" s="11"/>
      <c r="C200" s="11"/>
      <c r="D200" s="11"/>
      <c r="E200" s="12"/>
      <c r="F200" s="11"/>
      <c r="G200" s="11"/>
      <c r="H200" s="11"/>
      <c r="I200" s="13" t="str">
        <f aca="false">IF(NOT(COUNTA($A200:$H200)&gt;0),"",IF(K200&amp;L200&amp;M200&lt;&gt;"","ERROR",IF(N200&amp;O200&amp;P200&lt;&gt;"","CHECK","OK")))</f>
        <v/>
      </c>
      <c r="J200" s="14" t="str">
        <f aca="false">TRIM(K200&amp;L200&amp;M200&amp;N200&amp;O200&amp;P200)</f>
        <v/>
      </c>
      <c r="K200" s="15" t="str">
        <f aca="true">IF(NOT(COUNTA($A200:$H200)&gt;0),"",IF(A200="","Missing date. ",IF(NOT(ISNUMBER(A200)),"Date is not a real date. ",IF(YEAR(A200)&lt;&gt;Settings!$B$4,"Date outside tax year. ",IF(A200&gt;TODAY(),"Date is in the future. ","")))))</f>
        <v/>
      </c>
      <c r="L200" s="15" t="str">
        <f aca="false">IF(NOT(COUNTA($A200:$H200)&gt;0),"",IF(E200="","Missing amount. ",IF(NOT(ISNUMBER(E200)),"Amount is not a number. ",IF(E200&lt;=0,"Amount must be above zero. ",""))))</f>
        <v/>
      </c>
      <c r="M200" s="15" t="str">
        <f aca="false">IF(NOT(COUNTA($A200:$H200)&gt;0),"",IF(D200="","Missing category. ",IF(COUNTIF(Settings!$B$11:$B$40,D200)=0,"Category not in your list. ","")))</f>
        <v/>
      </c>
      <c r="N200" s="15" t="str">
        <f aca="false">IF(AND(ISNUMBER(A200),ISNUMBER(E200),B200&lt;&gt;""),IF(COUNTIFS($A$6:$A$505,A200,$B$6:$B$505,B200,$E$6:$E$505,E200)&gt;1,"Possible duplicate. ",""),"")</f>
        <v/>
      </c>
      <c r="O200" s="15" t="str">
        <f aca="false">IF(AND(ISNUMBER(E200),E200&gt;=Settings!$B$6,G200&lt;&gt;"Yes"),"Receipt not marked as saved. ","")</f>
        <v/>
      </c>
      <c r="P200" s="15" t="str">
        <f aca="false">IF(AND(ISNUMBER(E200),E200&gt;=Settings!$B$5),"Large amount: review. ","")</f>
        <v/>
      </c>
    </row>
    <row r="201" customFormat="false" ht="15" hidden="false" customHeight="false" outlineLevel="0" collapsed="false">
      <c r="A201" s="10"/>
      <c r="B201" s="11"/>
      <c r="C201" s="11"/>
      <c r="D201" s="11"/>
      <c r="E201" s="12"/>
      <c r="F201" s="11"/>
      <c r="G201" s="11"/>
      <c r="H201" s="11"/>
      <c r="I201" s="13" t="str">
        <f aca="false">IF(NOT(COUNTA($A201:$H201)&gt;0),"",IF(K201&amp;L201&amp;M201&lt;&gt;"","ERROR",IF(N201&amp;O201&amp;P201&lt;&gt;"","CHECK","OK")))</f>
        <v/>
      </c>
      <c r="J201" s="14" t="str">
        <f aca="false">TRIM(K201&amp;L201&amp;M201&amp;N201&amp;O201&amp;P201)</f>
        <v/>
      </c>
      <c r="K201" s="15" t="str">
        <f aca="true">IF(NOT(COUNTA($A201:$H201)&gt;0),"",IF(A201="","Missing date. ",IF(NOT(ISNUMBER(A201)),"Date is not a real date. ",IF(YEAR(A201)&lt;&gt;Settings!$B$4,"Date outside tax year. ",IF(A201&gt;TODAY(),"Date is in the future. ","")))))</f>
        <v/>
      </c>
      <c r="L201" s="15" t="str">
        <f aca="false">IF(NOT(COUNTA($A201:$H201)&gt;0),"",IF(E201="","Missing amount. ",IF(NOT(ISNUMBER(E201)),"Amount is not a number. ",IF(E201&lt;=0,"Amount must be above zero. ",""))))</f>
        <v/>
      </c>
      <c r="M201" s="15" t="str">
        <f aca="false">IF(NOT(COUNTA($A201:$H201)&gt;0),"",IF(D201="","Missing category. ",IF(COUNTIF(Settings!$B$11:$B$40,D201)=0,"Category not in your list. ","")))</f>
        <v/>
      </c>
      <c r="N201" s="15" t="str">
        <f aca="false">IF(AND(ISNUMBER(A201),ISNUMBER(E201),B201&lt;&gt;""),IF(COUNTIFS($A$6:$A$505,A201,$B$6:$B$505,B201,$E$6:$E$505,E201)&gt;1,"Possible duplicate. ",""),"")</f>
        <v/>
      </c>
      <c r="O201" s="15" t="str">
        <f aca="false">IF(AND(ISNUMBER(E201),E201&gt;=Settings!$B$6,G201&lt;&gt;"Yes"),"Receipt not marked as saved. ","")</f>
        <v/>
      </c>
      <c r="P201" s="15" t="str">
        <f aca="false">IF(AND(ISNUMBER(E201),E201&gt;=Settings!$B$5),"Large amount: review. ","")</f>
        <v/>
      </c>
    </row>
    <row r="202" customFormat="false" ht="15" hidden="false" customHeight="false" outlineLevel="0" collapsed="false">
      <c r="A202" s="10"/>
      <c r="B202" s="11"/>
      <c r="C202" s="11"/>
      <c r="D202" s="11"/>
      <c r="E202" s="12"/>
      <c r="F202" s="11"/>
      <c r="G202" s="11"/>
      <c r="H202" s="11"/>
      <c r="I202" s="13" t="str">
        <f aca="false">IF(NOT(COUNTA($A202:$H202)&gt;0),"",IF(K202&amp;L202&amp;M202&lt;&gt;"","ERROR",IF(N202&amp;O202&amp;P202&lt;&gt;"","CHECK","OK")))</f>
        <v/>
      </c>
      <c r="J202" s="14" t="str">
        <f aca="false">TRIM(K202&amp;L202&amp;M202&amp;N202&amp;O202&amp;P202)</f>
        <v/>
      </c>
      <c r="K202" s="15" t="str">
        <f aca="true">IF(NOT(COUNTA($A202:$H202)&gt;0),"",IF(A202="","Missing date. ",IF(NOT(ISNUMBER(A202)),"Date is not a real date. ",IF(YEAR(A202)&lt;&gt;Settings!$B$4,"Date outside tax year. ",IF(A202&gt;TODAY(),"Date is in the future. ","")))))</f>
        <v/>
      </c>
      <c r="L202" s="15" t="str">
        <f aca="false">IF(NOT(COUNTA($A202:$H202)&gt;0),"",IF(E202="","Missing amount. ",IF(NOT(ISNUMBER(E202)),"Amount is not a number. ",IF(E202&lt;=0,"Amount must be above zero. ",""))))</f>
        <v/>
      </c>
      <c r="M202" s="15" t="str">
        <f aca="false">IF(NOT(COUNTA($A202:$H202)&gt;0),"",IF(D202="","Missing category. ",IF(COUNTIF(Settings!$B$11:$B$40,D202)=0,"Category not in your list. ","")))</f>
        <v/>
      </c>
      <c r="N202" s="15" t="str">
        <f aca="false">IF(AND(ISNUMBER(A202),ISNUMBER(E202),B202&lt;&gt;""),IF(COUNTIFS($A$6:$A$505,A202,$B$6:$B$505,B202,$E$6:$E$505,E202)&gt;1,"Possible duplicate. ",""),"")</f>
        <v/>
      </c>
      <c r="O202" s="15" t="str">
        <f aca="false">IF(AND(ISNUMBER(E202),E202&gt;=Settings!$B$6,G202&lt;&gt;"Yes"),"Receipt not marked as saved. ","")</f>
        <v/>
      </c>
      <c r="P202" s="15" t="str">
        <f aca="false">IF(AND(ISNUMBER(E202),E202&gt;=Settings!$B$5),"Large amount: review. ","")</f>
        <v/>
      </c>
    </row>
    <row r="203" customFormat="false" ht="15" hidden="false" customHeight="false" outlineLevel="0" collapsed="false">
      <c r="A203" s="10"/>
      <c r="B203" s="11"/>
      <c r="C203" s="11"/>
      <c r="D203" s="11"/>
      <c r="E203" s="12"/>
      <c r="F203" s="11"/>
      <c r="G203" s="11"/>
      <c r="H203" s="11"/>
      <c r="I203" s="13" t="str">
        <f aca="false">IF(NOT(COUNTA($A203:$H203)&gt;0),"",IF(K203&amp;L203&amp;M203&lt;&gt;"","ERROR",IF(N203&amp;O203&amp;P203&lt;&gt;"","CHECK","OK")))</f>
        <v/>
      </c>
      <c r="J203" s="14" t="str">
        <f aca="false">TRIM(K203&amp;L203&amp;M203&amp;N203&amp;O203&amp;P203)</f>
        <v/>
      </c>
      <c r="K203" s="15" t="str">
        <f aca="true">IF(NOT(COUNTA($A203:$H203)&gt;0),"",IF(A203="","Missing date. ",IF(NOT(ISNUMBER(A203)),"Date is not a real date. ",IF(YEAR(A203)&lt;&gt;Settings!$B$4,"Date outside tax year. ",IF(A203&gt;TODAY(),"Date is in the future. ","")))))</f>
        <v/>
      </c>
      <c r="L203" s="15" t="str">
        <f aca="false">IF(NOT(COUNTA($A203:$H203)&gt;0),"",IF(E203="","Missing amount. ",IF(NOT(ISNUMBER(E203)),"Amount is not a number. ",IF(E203&lt;=0,"Amount must be above zero. ",""))))</f>
        <v/>
      </c>
      <c r="M203" s="15" t="str">
        <f aca="false">IF(NOT(COUNTA($A203:$H203)&gt;0),"",IF(D203="","Missing category. ",IF(COUNTIF(Settings!$B$11:$B$40,D203)=0,"Category not in your list. ","")))</f>
        <v/>
      </c>
      <c r="N203" s="15" t="str">
        <f aca="false">IF(AND(ISNUMBER(A203),ISNUMBER(E203),B203&lt;&gt;""),IF(COUNTIFS($A$6:$A$505,A203,$B$6:$B$505,B203,$E$6:$E$505,E203)&gt;1,"Possible duplicate. ",""),"")</f>
        <v/>
      </c>
      <c r="O203" s="15" t="str">
        <f aca="false">IF(AND(ISNUMBER(E203),E203&gt;=Settings!$B$6,G203&lt;&gt;"Yes"),"Receipt not marked as saved. ","")</f>
        <v/>
      </c>
      <c r="P203" s="15" t="str">
        <f aca="false">IF(AND(ISNUMBER(E203),E203&gt;=Settings!$B$5),"Large amount: review. ","")</f>
        <v/>
      </c>
    </row>
    <row r="204" customFormat="false" ht="15" hidden="false" customHeight="false" outlineLevel="0" collapsed="false">
      <c r="A204" s="10"/>
      <c r="B204" s="11"/>
      <c r="C204" s="11"/>
      <c r="D204" s="11"/>
      <c r="E204" s="12"/>
      <c r="F204" s="11"/>
      <c r="G204" s="11"/>
      <c r="H204" s="11"/>
      <c r="I204" s="13" t="str">
        <f aca="false">IF(NOT(COUNTA($A204:$H204)&gt;0),"",IF(K204&amp;L204&amp;M204&lt;&gt;"","ERROR",IF(N204&amp;O204&amp;P204&lt;&gt;"","CHECK","OK")))</f>
        <v/>
      </c>
      <c r="J204" s="14" t="str">
        <f aca="false">TRIM(K204&amp;L204&amp;M204&amp;N204&amp;O204&amp;P204)</f>
        <v/>
      </c>
      <c r="K204" s="15" t="str">
        <f aca="true">IF(NOT(COUNTA($A204:$H204)&gt;0),"",IF(A204="","Missing date. ",IF(NOT(ISNUMBER(A204)),"Date is not a real date. ",IF(YEAR(A204)&lt;&gt;Settings!$B$4,"Date outside tax year. ",IF(A204&gt;TODAY(),"Date is in the future. ","")))))</f>
        <v/>
      </c>
      <c r="L204" s="15" t="str">
        <f aca="false">IF(NOT(COUNTA($A204:$H204)&gt;0),"",IF(E204="","Missing amount. ",IF(NOT(ISNUMBER(E204)),"Amount is not a number. ",IF(E204&lt;=0,"Amount must be above zero. ",""))))</f>
        <v/>
      </c>
      <c r="M204" s="15" t="str">
        <f aca="false">IF(NOT(COUNTA($A204:$H204)&gt;0),"",IF(D204="","Missing category. ",IF(COUNTIF(Settings!$B$11:$B$40,D204)=0,"Category not in your list. ","")))</f>
        <v/>
      </c>
      <c r="N204" s="15" t="str">
        <f aca="false">IF(AND(ISNUMBER(A204),ISNUMBER(E204),B204&lt;&gt;""),IF(COUNTIFS($A$6:$A$505,A204,$B$6:$B$505,B204,$E$6:$E$505,E204)&gt;1,"Possible duplicate. ",""),"")</f>
        <v/>
      </c>
      <c r="O204" s="15" t="str">
        <f aca="false">IF(AND(ISNUMBER(E204),E204&gt;=Settings!$B$6,G204&lt;&gt;"Yes"),"Receipt not marked as saved. ","")</f>
        <v/>
      </c>
      <c r="P204" s="15" t="str">
        <f aca="false">IF(AND(ISNUMBER(E204),E204&gt;=Settings!$B$5),"Large amount: review. ","")</f>
        <v/>
      </c>
    </row>
    <row r="205" customFormat="false" ht="15" hidden="false" customHeight="false" outlineLevel="0" collapsed="false">
      <c r="A205" s="10"/>
      <c r="B205" s="11"/>
      <c r="C205" s="11"/>
      <c r="D205" s="11"/>
      <c r="E205" s="12"/>
      <c r="F205" s="11"/>
      <c r="G205" s="11"/>
      <c r="H205" s="11"/>
      <c r="I205" s="13" t="str">
        <f aca="false">IF(NOT(COUNTA($A205:$H205)&gt;0),"",IF(K205&amp;L205&amp;M205&lt;&gt;"","ERROR",IF(N205&amp;O205&amp;P205&lt;&gt;"","CHECK","OK")))</f>
        <v/>
      </c>
      <c r="J205" s="14" t="str">
        <f aca="false">TRIM(K205&amp;L205&amp;M205&amp;N205&amp;O205&amp;P205)</f>
        <v/>
      </c>
      <c r="K205" s="15" t="str">
        <f aca="true">IF(NOT(COUNTA($A205:$H205)&gt;0),"",IF(A205="","Missing date. ",IF(NOT(ISNUMBER(A205)),"Date is not a real date. ",IF(YEAR(A205)&lt;&gt;Settings!$B$4,"Date outside tax year. ",IF(A205&gt;TODAY(),"Date is in the future. ","")))))</f>
        <v/>
      </c>
      <c r="L205" s="15" t="str">
        <f aca="false">IF(NOT(COUNTA($A205:$H205)&gt;0),"",IF(E205="","Missing amount. ",IF(NOT(ISNUMBER(E205)),"Amount is not a number. ",IF(E205&lt;=0,"Amount must be above zero. ",""))))</f>
        <v/>
      </c>
      <c r="M205" s="15" t="str">
        <f aca="false">IF(NOT(COUNTA($A205:$H205)&gt;0),"",IF(D205="","Missing category. ",IF(COUNTIF(Settings!$B$11:$B$40,D205)=0,"Category not in your list. ","")))</f>
        <v/>
      </c>
      <c r="N205" s="15" t="str">
        <f aca="false">IF(AND(ISNUMBER(A205),ISNUMBER(E205),B205&lt;&gt;""),IF(COUNTIFS($A$6:$A$505,A205,$B$6:$B$505,B205,$E$6:$E$505,E205)&gt;1,"Possible duplicate. ",""),"")</f>
        <v/>
      </c>
      <c r="O205" s="15" t="str">
        <f aca="false">IF(AND(ISNUMBER(E205),E205&gt;=Settings!$B$6,G205&lt;&gt;"Yes"),"Receipt not marked as saved. ","")</f>
        <v/>
      </c>
      <c r="P205" s="15" t="str">
        <f aca="false">IF(AND(ISNUMBER(E205),E205&gt;=Settings!$B$5),"Large amount: review. ","")</f>
        <v/>
      </c>
    </row>
    <row r="206" customFormat="false" ht="15" hidden="false" customHeight="false" outlineLevel="0" collapsed="false">
      <c r="A206" s="10"/>
      <c r="B206" s="11"/>
      <c r="C206" s="11"/>
      <c r="D206" s="11"/>
      <c r="E206" s="12"/>
      <c r="F206" s="11"/>
      <c r="G206" s="11"/>
      <c r="H206" s="11"/>
      <c r="I206" s="13" t="str">
        <f aca="false">IF(NOT(COUNTA($A206:$H206)&gt;0),"",IF(K206&amp;L206&amp;M206&lt;&gt;"","ERROR",IF(N206&amp;O206&amp;P206&lt;&gt;"","CHECK","OK")))</f>
        <v/>
      </c>
      <c r="J206" s="14" t="str">
        <f aca="false">TRIM(K206&amp;L206&amp;M206&amp;N206&amp;O206&amp;P206)</f>
        <v/>
      </c>
      <c r="K206" s="15" t="str">
        <f aca="true">IF(NOT(COUNTA($A206:$H206)&gt;0),"",IF(A206="","Missing date. ",IF(NOT(ISNUMBER(A206)),"Date is not a real date. ",IF(YEAR(A206)&lt;&gt;Settings!$B$4,"Date outside tax year. ",IF(A206&gt;TODAY(),"Date is in the future. ","")))))</f>
        <v/>
      </c>
      <c r="L206" s="15" t="str">
        <f aca="false">IF(NOT(COUNTA($A206:$H206)&gt;0),"",IF(E206="","Missing amount. ",IF(NOT(ISNUMBER(E206)),"Amount is not a number. ",IF(E206&lt;=0,"Amount must be above zero. ",""))))</f>
        <v/>
      </c>
      <c r="M206" s="15" t="str">
        <f aca="false">IF(NOT(COUNTA($A206:$H206)&gt;0),"",IF(D206="","Missing category. ",IF(COUNTIF(Settings!$B$11:$B$40,D206)=0,"Category not in your list. ","")))</f>
        <v/>
      </c>
      <c r="N206" s="15" t="str">
        <f aca="false">IF(AND(ISNUMBER(A206),ISNUMBER(E206),B206&lt;&gt;""),IF(COUNTIFS($A$6:$A$505,A206,$B$6:$B$505,B206,$E$6:$E$505,E206)&gt;1,"Possible duplicate. ",""),"")</f>
        <v/>
      </c>
      <c r="O206" s="15" t="str">
        <f aca="false">IF(AND(ISNUMBER(E206),E206&gt;=Settings!$B$6,G206&lt;&gt;"Yes"),"Receipt not marked as saved. ","")</f>
        <v/>
      </c>
      <c r="P206" s="15" t="str">
        <f aca="false">IF(AND(ISNUMBER(E206),E206&gt;=Settings!$B$5),"Large amount: review. ","")</f>
        <v/>
      </c>
    </row>
    <row r="207" customFormat="false" ht="15" hidden="false" customHeight="false" outlineLevel="0" collapsed="false">
      <c r="A207" s="10"/>
      <c r="B207" s="11"/>
      <c r="C207" s="11"/>
      <c r="D207" s="11"/>
      <c r="E207" s="12"/>
      <c r="F207" s="11"/>
      <c r="G207" s="11"/>
      <c r="H207" s="11"/>
      <c r="I207" s="13" t="str">
        <f aca="false">IF(NOT(COUNTA($A207:$H207)&gt;0),"",IF(K207&amp;L207&amp;M207&lt;&gt;"","ERROR",IF(N207&amp;O207&amp;P207&lt;&gt;"","CHECK","OK")))</f>
        <v/>
      </c>
      <c r="J207" s="14" t="str">
        <f aca="false">TRIM(K207&amp;L207&amp;M207&amp;N207&amp;O207&amp;P207)</f>
        <v/>
      </c>
      <c r="K207" s="15" t="str">
        <f aca="true">IF(NOT(COUNTA($A207:$H207)&gt;0),"",IF(A207="","Missing date. ",IF(NOT(ISNUMBER(A207)),"Date is not a real date. ",IF(YEAR(A207)&lt;&gt;Settings!$B$4,"Date outside tax year. ",IF(A207&gt;TODAY(),"Date is in the future. ","")))))</f>
        <v/>
      </c>
      <c r="L207" s="15" t="str">
        <f aca="false">IF(NOT(COUNTA($A207:$H207)&gt;0),"",IF(E207="","Missing amount. ",IF(NOT(ISNUMBER(E207)),"Amount is not a number. ",IF(E207&lt;=0,"Amount must be above zero. ",""))))</f>
        <v/>
      </c>
      <c r="M207" s="15" t="str">
        <f aca="false">IF(NOT(COUNTA($A207:$H207)&gt;0),"",IF(D207="","Missing category. ",IF(COUNTIF(Settings!$B$11:$B$40,D207)=0,"Category not in your list. ","")))</f>
        <v/>
      </c>
      <c r="N207" s="15" t="str">
        <f aca="false">IF(AND(ISNUMBER(A207),ISNUMBER(E207),B207&lt;&gt;""),IF(COUNTIFS($A$6:$A$505,A207,$B$6:$B$505,B207,$E$6:$E$505,E207)&gt;1,"Possible duplicate. ",""),"")</f>
        <v/>
      </c>
      <c r="O207" s="15" t="str">
        <f aca="false">IF(AND(ISNUMBER(E207),E207&gt;=Settings!$B$6,G207&lt;&gt;"Yes"),"Receipt not marked as saved. ","")</f>
        <v/>
      </c>
      <c r="P207" s="15" t="str">
        <f aca="false">IF(AND(ISNUMBER(E207),E207&gt;=Settings!$B$5),"Large amount: review. ","")</f>
        <v/>
      </c>
    </row>
    <row r="208" customFormat="false" ht="15" hidden="false" customHeight="false" outlineLevel="0" collapsed="false">
      <c r="A208" s="10"/>
      <c r="B208" s="11"/>
      <c r="C208" s="11"/>
      <c r="D208" s="11"/>
      <c r="E208" s="12"/>
      <c r="F208" s="11"/>
      <c r="G208" s="11"/>
      <c r="H208" s="11"/>
      <c r="I208" s="13" t="str">
        <f aca="false">IF(NOT(COUNTA($A208:$H208)&gt;0),"",IF(K208&amp;L208&amp;M208&lt;&gt;"","ERROR",IF(N208&amp;O208&amp;P208&lt;&gt;"","CHECK","OK")))</f>
        <v/>
      </c>
      <c r="J208" s="14" t="str">
        <f aca="false">TRIM(K208&amp;L208&amp;M208&amp;N208&amp;O208&amp;P208)</f>
        <v/>
      </c>
      <c r="K208" s="15" t="str">
        <f aca="true">IF(NOT(COUNTA($A208:$H208)&gt;0),"",IF(A208="","Missing date. ",IF(NOT(ISNUMBER(A208)),"Date is not a real date. ",IF(YEAR(A208)&lt;&gt;Settings!$B$4,"Date outside tax year. ",IF(A208&gt;TODAY(),"Date is in the future. ","")))))</f>
        <v/>
      </c>
      <c r="L208" s="15" t="str">
        <f aca="false">IF(NOT(COUNTA($A208:$H208)&gt;0),"",IF(E208="","Missing amount. ",IF(NOT(ISNUMBER(E208)),"Amount is not a number. ",IF(E208&lt;=0,"Amount must be above zero. ",""))))</f>
        <v/>
      </c>
      <c r="M208" s="15" t="str">
        <f aca="false">IF(NOT(COUNTA($A208:$H208)&gt;0),"",IF(D208="","Missing category. ",IF(COUNTIF(Settings!$B$11:$B$40,D208)=0,"Category not in your list. ","")))</f>
        <v/>
      </c>
      <c r="N208" s="15" t="str">
        <f aca="false">IF(AND(ISNUMBER(A208),ISNUMBER(E208),B208&lt;&gt;""),IF(COUNTIFS($A$6:$A$505,A208,$B$6:$B$505,B208,$E$6:$E$505,E208)&gt;1,"Possible duplicate. ",""),"")</f>
        <v/>
      </c>
      <c r="O208" s="15" t="str">
        <f aca="false">IF(AND(ISNUMBER(E208),E208&gt;=Settings!$B$6,G208&lt;&gt;"Yes"),"Receipt not marked as saved. ","")</f>
        <v/>
      </c>
      <c r="P208" s="15" t="str">
        <f aca="false">IF(AND(ISNUMBER(E208),E208&gt;=Settings!$B$5),"Large amount: review. ","")</f>
        <v/>
      </c>
    </row>
    <row r="209" customFormat="false" ht="15" hidden="false" customHeight="false" outlineLevel="0" collapsed="false">
      <c r="A209" s="10"/>
      <c r="B209" s="11"/>
      <c r="C209" s="11"/>
      <c r="D209" s="11"/>
      <c r="E209" s="12"/>
      <c r="F209" s="11"/>
      <c r="G209" s="11"/>
      <c r="H209" s="11"/>
      <c r="I209" s="13" t="str">
        <f aca="false">IF(NOT(COUNTA($A209:$H209)&gt;0),"",IF(K209&amp;L209&amp;M209&lt;&gt;"","ERROR",IF(N209&amp;O209&amp;P209&lt;&gt;"","CHECK","OK")))</f>
        <v/>
      </c>
      <c r="J209" s="14" t="str">
        <f aca="false">TRIM(K209&amp;L209&amp;M209&amp;N209&amp;O209&amp;P209)</f>
        <v/>
      </c>
      <c r="K209" s="15" t="str">
        <f aca="true">IF(NOT(COUNTA($A209:$H209)&gt;0),"",IF(A209="","Missing date. ",IF(NOT(ISNUMBER(A209)),"Date is not a real date. ",IF(YEAR(A209)&lt;&gt;Settings!$B$4,"Date outside tax year. ",IF(A209&gt;TODAY(),"Date is in the future. ","")))))</f>
        <v/>
      </c>
      <c r="L209" s="15" t="str">
        <f aca="false">IF(NOT(COUNTA($A209:$H209)&gt;0),"",IF(E209="","Missing amount. ",IF(NOT(ISNUMBER(E209)),"Amount is not a number. ",IF(E209&lt;=0,"Amount must be above zero. ",""))))</f>
        <v/>
      </c>
      <c r="M209" s="15" t="str">
        <f aca="false">IF(NOT(COUNTA($A209:$H209)&gt;0),"",IF(D209="","Missing category. ",IF(COUNTIF(Settings!$B$11:$B$40,D209)=0,"Category not in your list. ","")))</f>
        <v/>
      </c>
      <c r="N209" s="15" t="str">
        <f aca="false">IF(AND(ISNUMBER(A209),ISNUMBER(E209),B209&lt;&gt;""),IF(COUNTIFS($A$6:$A$505,A209,$B$6:$B$505,B209,$E$6:$E$505,E209)&gt;1,"Possible duplicate. ",""),"")</f>
        <v/>
      </c>
      <c r="O209" s="15" t="str">
        <f aca="false">IF(AND(ISNUMBER(E209),E209&gt;=Settings!$B$6,G209&lt;&gt;"Yes"),"Receipt not marked as saved. ","")</f>
        <v/>
      </c>
      <c r="P209" s="15" t="str">
        <f aca="false">IF(AND(ISNUMBER(E209),E209&gt;=Settings!$B$5),"Large amount: review. ","")</f>
        <v/>
      </c>
    </row>
    <row r="210" customFormat="false" ht="15" hidden="false" customHeight="false" outlineLevel="0" collapsed="false">
      <c r="A210" s="10"/>
      <c r="B210" s="11"/>
      <c r="C210" s="11"/>
      <c r="D210" s="11"/>
      <c r="E210" s="12"/>
      <c r="F210" s="11"/>
      <c r="G210" s="11"/>
      <c r="H210" s="11"/>
      <c r="I210" s="13" t="str">
        <f aca="false">IF(NOT(COUNTA($A210:$H210)&gt;0),"",IF(K210&amp;L210&amp;M210&lt;&gt;"","ERROR",IF(N210&amp;O210&amp;P210&lt;&gt;"","CHECK","OK")))</f>
        <v/>
      </c>
      <c r="J210" s="14" t="str">
        <f aca="false">TRIM(K210&amp;L210&amp;M210&amp;N210&amp;O210&amp;P210)</f>
        <v/>
      </c>
      <c r="K210" s="15" t="str">
        <f aca="true">IF(NOT(COUNTA($A210:$H210)&gt;0),"",IF(A210="","Missing date. ",IF(NOT(ISNUMBER(A210)),"Date is not a real date. ",IF(YEAR(A210)&lt;&gt;Settings!$B$4,"Date outside tax year. ",IF(A210&gt;TODAY(),"Date is in the future. ","")))))</f>
        <v/>
      </c>
      <c r="L210" s="15" t="str">
        <f aca="false">IF(NOT(COUNTA($A210:$H210)&gt;0),"",IF(E210="","Missing amount. ",IF(NOT(ISNUMBER(E210)),"Amount is not a number. ",IF(E210&lt;=0,"Amount must be above zero. ",""))))</f>
        <v/>
      </c>
      <c r="M210" s="15" t="str">
        <f aca="false">IF(NOT(COUNTA($A210:$H210)&gt;0),"",IF(D210="","Missing category. ",IF(COUNTIF(Settings!$B$11:$B$40,D210)=0,"Category not in your list. ","")))</f>
        <v/>
      </c>
      <c r="N210" s="15" t="str">
        <f aca="false">IF(AND(ISNUMBER(A210),ISNUMBER(E210),B210&lt;&gt;""),IF(COUNTIFS($A$6:$A$505,A210,$B$6:$B$505,B210,$E$6:$E$505,E210)&gt;1,"Possible duplicate. ",""),"")</f>
        <v/>
      </c>
      <c r="O210" s="15" t="str">
        <f aca="false">IF(AND(ISNUMBER(E210),E210&gt;=Settings!$B$6,G210&lt;&gt;"Yes"),"Receipt not marked as saved. ","")</f>
        <v/>
      </c>
      <c r="P210" s="15" t="str">
        <f aca="false">IF(AND(ISNUMBER(E210),E210&gt;=Settings!$B$5),"Large amount: review. ","")</f>
        <v/>
      </c>
    </row>
    <row r="211" customFormat="false" ht="15" hidden="false" customHeight="false" outlineLevel="0" collapsed="false">
      <c r="A211" s="10"/>
      <c r="B211" s="11"/>
      <c r="C211" s="11"/>
      <c r="D211" s="11"/>
      <c r="E211" s="12"/>
      <c r="F211" s="11"/>
      <c r="G211" s="11"/>
      <c r="H211" s="11"/>
      <c r="I211" s="13" t="str">
        <f aca="false">IF(NOT(COUNTA($A211:$H211)&gt;0),"",IF(K211&amp;L211&amp;M211&lt;&gt;"","ERROR",IF(N211&amp;O211&amp;P211&lt;&gt;"","CHECK","OK")))</f>
        <v/>
      </c>
      <c r="J211" s="14" t="str">
        <f aca="false">TRIM(K211&amp;L211&amp;M211&amp;N211&amp;O211&amp;P211)</f>
        <v/>
      </c>
      <c r="K211" s="15" t="str">
        <f aca="true">IF(NOT(COUNTA($A211:$H211)&gt;0),"",IF(A211="","Missing date. ",IF(NOT(ISNUMBER(A211)),"Date is not a real date. ",IF(YEAR(A211)&lt;&gt;Settings!$B$4,"Date outside tax year. ",IF(A211&gt;TODAY(),"Date is in the future. ","")))))</f>
        <v/>
      </c>
      <c r="L211" s="15" t="str">
        <f aca="false">IF(NOT(COUNTA($A211:$H211)&gt;0),"",IF(E211="","Missing amount. ",IF(NOT(ISNUMBER(E211)),"Amount is not a number. ",IF(E211&lt;=0,"Amount must be above zero. ",""))))</f>
        <v/>
      </c>
      <c r="M211" s="15" t="str">
        <f aca="false">IF(NOT(COUNTA($A211:$H211)&gt;0),"",IF(D211="","Missing category. ",IF(COUNTIF(Settings!$B$11:$B$40,D211)=0,"Category not in your list. ","")))</f>
        <v/>
      </c>
      <c r="N211" s="15" t="str">
        <f aca="false">IF(AND(ISNUMBER(A211),ISNUMBER(E211),B211&lt;&gt;""),IF(COUNTIFS($A$6:$A$505,A211,$B$6:$B$505,B211,$E$6:$E$505,E211)&gt;1,"Possible duplicate. ",""),"")</f>
        <v/>
      </c>
      <c r="O211" s="15" t="str">
        <f aca="false">IF(AND(ISNUMBER(E211),E211&gt;=Settings!$B$6,G211&lt;&gt;"Yes"),"Receipt not marked as saved. ","")</f>
        <v/>
      </c>
      <c r="P211" s="15" t="str">
        <f aca="false">IF(AND(ISNUMBER(E211),E211&gt;=Settings!$B$5),"Large amount: review. ","")</f>
        <v/>
      </c>
    </row>
    <row r="212" customFormat="false" ht="15" hidden="false" customHeight="false" outlineLevel="0" collapsed="false">
      <c r="A212" s="10"/>
      <c r="B212" s="11"/>
      <c r="C212" s="11"/>
      <c r="D212" s="11"/>
      <c r="E212" s="12"/>
      <c r="F212" s="11"/>
      <c r="G212" s="11"/>
      <c r="H212" s="11"/>
      <c r="I212" s="13" t="str">
        <f aca="false">IF(NOT(COUNTA($A212:$H212)&gt;0),"",IF(K212&amp;L212&amp;M212&lt;&gt;"","ERROR",IF(N212&amp;O212&amp;P212&lt;&gt;"","CHECK","OK")))</f>
        <v/>
      </c>
      <c r="J212" s="14" t="str">
        <f aca="false">TRIM(K212&amp;L212&amp;M212&amp;N212&amp;O212&amp;P212)</f>
        <v/>
      </c>
      <c r="K212" s="15" t="str">
        <f aca="true">IF(NOT(COUNTA($A212:$H212)&gt;0),"",IF(A212="","Missing date. ",IF(NOT(ISNUMBER(A212)),"Date is not a real date. ",IF(YEAR(A212)&lt;&gt;Settings!$B$4,"Date outside tax year. ",IF(A212&gt;TODAY(),"Date is in the future. ","")))))</f>
        <v/>
      </c>
      <c r="L212" s="15" t="str">
        <f aca="false">IF(NOT(COUNTA($A212:$H212)&gt;0),"",IF(E212="","Missing amount. ",IF(NOT(ISNUMBER(E212)),"Amount is not a number. ",IF(E212&lt;=0,"Amount must be above zero. ",""))))</f>
        <v/>
      </c>
      <c r="M212" s="15" t="str">
        <f aca="false">IF(NOT(COUNTA($A212:$H212)&gt;0),"",IF(D212="","Missing category. ",IF(COUNTIF(Settings!$B$11:$B$40,D212)=0,"Category not in your list. ","")))</f>
        <v/>
      </c>
      <c r="N212" s="15" t="str">
        <f aca="false">IF(AND(ISNUMBER(A212),ISNUMBER(E212),B212&lt;&gt;""),IF(COUNTIFS($A$6:$A$505,A212,$B$6:$B$505,B212,$E$6:$E$505,E212)&gt;1,"Possible duplicate. ",""),"")</f>
        <v/>
      </c>
      <c r="O212" s="15" t="str">
        <f aca="false">IF(AND(ISNUMBER(E212),E212&gt;=Settings!$B$6,G212&lt;&gt;"Yes"),"Receipt not marked as saved. ","")</f>
        <v/>
      </c>
      <c r="P212" s="15" t="str">
        <f aca="false">IF(AND(ISNUMBER(E212),E212&gt;=Settings!$B$5),"Large amount: review. ","")</f>
        <v/>
      </c>
    </row>
    <row r="213" customFormat="false" ht="15" hidden="false" customHeight="false" outlineLevel="0" collapsed="false">
      <c r="A213" s="10"/>
      <c r="B213" s="11"/>
      <c r="C213" s="11"/>
      <c r="D213" s="11"/>
      <c r="E213" s="12"/>
      <c r="F213" s="11"/>
      <c r="G213" s="11"/>
      <c r="H213" s="11"/>
      <c r="I213" s="13" t="str">
        <f aca="false">IF(NOT(COUNTA($A213:$H213)&gt;0),"",IF(K213&amp;L213&amp;M213&lt;&gt;"","ERROR",IF(N213&amp;O213&amp;P213&lt;&gt;"","CHECK","OK")))</f>
        <v/>
      </c>
      <c r="J213" s="14" t="str">
        <f aca="false">TRIM(K213&amp;L213&amp;M213&amp;N213&amp;O213&amp;P213)</f>
        <v/>
      </c>
      <c r="K213" s="15" t="str">
        <f aca="true">IF(NOT(COUNTA($A213:$H213)&gt;0),"",IF(A213="","Missing date. ",IF(NOT(ISNUMBER(A213)),"Date is not a real date. ",IF(YEAR(A213)&lt;&gt;Settings!$B$4,"Date outside tax year. ",IF(A213&gt;TODAY(),"Date is in the future. ","")))))</f>
        <v/>
      </c>
      <c r="L213" s="15" t="str">
        <f aca="false">IF(NOT(COUNTA($A213:$H213)&gt;0),"",IF(E213="","Missing amount. ",IF(NOT(ISNUMBER(E213)),"Amount is not a number. ",IF(E213&lt;=0,"Amount must be above zero. ",""))))</f>
        <v/>
      </c>
      <c r="M213" s="15" t="str">
        <f aca="false">IF(NOT(COUNTA($A213:$H213)&gt;0),"",IF(D213="","Missing category. ",IF(COUNTIF(Settings!$B$11:$B$40,D213)=0,"Category not in your list. ","")))</f>
        <v/>
      </c>
      <c r="N213" s="15" t="str">
        <f aca="false">IF(AND(ISNUMBER(A213),ISNUMBER(E213),B213&lt;&gt;""),IF(COUNTIFS($A$6:$A$505,A213,$B$6:$B$505,B213,$E$6:$E$505,E213)&gt;1,"Possible duplicate. ",""),"")</f>
        <v/>
      </c>
      <c r="O213" s="15" t="str">
        <f aca="false">IF(AND(ISNUMBER(E213),E213&gt;=Settings!$B$6,G213&lt;&gt;"Yes"),"Receipt not marked as saved. ","")</f>
        <v/>
      </c>
      <c r="P213" s="15" t="str">
        <f aca="false">IF(AND(ISNUMBER(E213),E213&gt;=Settings!$B$5),"Large amount: review. ","")</f>
        <v/>
      </c>
    </row>
    <row r="214" customFormat="false" ht="15" hidden="false" customHeight="false" outlineLevel="0" collapsed="false">
      <c r="A214" s="10"/>
      <c r="B214" s="11"/>
      <c r="C214" s="11"/>
      <c r="D214" s="11"/>
      <c r="E214" s="12"/>
      <c r="F214" s="11"/>
      <c r="G214" s="11"/>
      <c r="H214" s="11"/>
      <c r="I214" s="13" t="str">
        <f aca="false">IF(NOT(COUNTA($A214:$H214)&gt;0),"",IF(K214&amp;L214&amp;M214&lt;&gt;"","ERROR",IF(N214&amp;O214&amp;P214&lt;&gt;"","CHECK","OK")))</f>
        <v/>
      </c>
      <c r="J214" s="14" t="str">
        <f aca="false">TRIM(K214&amp;L214&amp;M214&amp;N214&amp;O214&amp;P214)</f>
        <v/>
      </c>
      <c r="K214" s="15" t="str">
        <f aca="true">IF(NOT(COUNTA($A214:$H214)&gt;0),"",IF(A214="","Missing date. ",IF(NOT(ISNUMBER(A214)),"Date is not a real date. ",IF(YEAR(A214)&lt;&gt;Settings!$B$4,"Date outside tax year. ",IF(A214&gt;TODAY(),"Date is in the future. ","")))))</f>
        <v/>
      </c>
      <c r="L214" s="15" t="str">
        <f aca="false">IF(NOT(COUNTA($A214:$H214)&gt;0),"",IF(E214="","Missing amount. ",IF(NOT(ISNUMBER(E214)),"Amount is not a number. ",IF(E214&lt;=0,"Amount must be above zero. ",""))))</f>
        <v/>
      </c>
      <c r="M214" s="15" t="str">
        <f aca="false">IF(NOT(COUNTA($A214:$H214)&gt;0),"",IF(D214="","Missing category. ",IF(COUNTIF(Settings!$B$11:$B$40,D214)=0,"Category not in your list. ","")))</f>
        <v/>
      </c>
      <c r="N214" s="15" t="str">
        <f aca="false">IF(AND(ISNUMBER(A214),ISNUMBER(E214),B214&lt;&gt;""),IF(COUNTIFS($A$6:$A$505,A214,$B$6:$B$505,B214,$E$6:$E$505,E214)&gt;1,"Possible duplicate. ",""),"")</f>
        <v/>
      </c>
      <c r="O214" s="15" t="str">
        <f aca="false">IF(AND(ISNUMBER(E214),E214&gt;=Settings!$B$6,G214&lt;&gt;"Yes"),"Receipt not marked as saved. ","")</f>
        <v/>
      </c>
      <c r="P214" s="15" t="str">
        <f aca="false">IF(AND(ISNUMBER(E214),E214&gt;=Settings!$B$5),"Large amount: review. ","")</f>
        <v/>
      </c>
    </row>
    <row r="215" customFormat="false" ht="15" hidden="false" customHeight="false" outlineLevel="0" collapsed="false">
      <c r="A215" s="10"/>
      <c r="B215" s="11"/>
      <c r="C215" s="11"/>
      <c r="D215" s="11"/>
      <c r="E215" s="12"/>
      <c r="F215" s="11"/>
      <c r="G215" s="11"/>
      <c r="H215" s="11"/>
      <c r="I215" s="13" t="str">
        <f aca="false">IF(NOT(COUNTA($A215:$H215)&gt;0),"",IF(K215&amp;L215&amp;M215&lt;&gt;"","ERROR",IF(N215&amp;O215&amp;P215&lt;&gt;"","CHECK","OK")))</f>
        <v/>
      </c>
      <c r="J215" s="14" t="str">
        <f aca="false">TRIM(K215&amp;L215&amp;M215&amp;N215&amp;O215&amp;P215)</f>
        <v/>
      </c>
      <c r="K215" s="15" t="str">
        <f aca="true">IF(NOT(COUNTA($A215:$H215)&gt;0),"",IF(A215="","Missing date. ",IF(NOT(ISNUMBER(A215)),"Date is not a real date. ",IF(YEAR(A215)&lt;&gt;Settings!$B$4,"Date outside tax year. ",IF(A215&gt;TODAY(),"Date is in the future. ","")))))</f>
        <v/>
      </c>
      <c r="L215" s="15" t="str">
        <f aca="false">IF(NOT(COUNTA($A215:$H215)&gt;0),"",IF(E215="","Missing amount. ",IF(NOT(ISNUMBER(E215)),"Amount is not a number. ",IF(E215&lt;=0,"Amount must be above zero. ",""))))</f>
        <v/>
      </c>
      <c r="M215" s="15" t="str">
        <f aca="false">IF(NOT(COUNTA($A215:$H215)&gt;0),"",IF(D215="","Missing category. ",IF(COUNTIF(Settings!$B$11:$B$40,D215)=0,"Category not in your list. ","")))</f>
        <v/>
      </c>
      <c r="N215" s="15" t="str">
        <f aca="false">IF(AND(ISNUMBER(A215),ISNUMBER(E215),B215&lt;&gt;""),IF(COUNTIFS($A$6:$A$505,A215,$B$6:$B$505,B215,$E$6:$E$505,E215)&gt;1,"Possible duplicate. ",""),"")</f>
        <v/>
      </c>
      <c r="O215" s="15" t="str">
        <f aca="false">IF(AND(ISNUMBER(E215),E215&gt;=Settings!$B$6,G215&lt;&gt;"Yes"),"Receipt not marked as saved. ","")</f>
        <v/>
      </c>
      <c r="P215" s="15" t="str">
        <f aca="false">IF(AND(ISNUMBER(E215),E215&gt;=Settings!$B$5),"Large amount: review. ","")</f>
        <v/>
      </c>
    </row>
    <row r="216" customFormat="false" ht="15" hidden="false" customHeight="false" outlineLevel="0" collapsed="false">
      <c r="A216" s="10"/>
      <c r="B216" s="11"/>
      <c r="C216" s="11"/>
      <c r="D216" s="11"/>
      <c r="E216" s="12"/>
      <c r="F216" s="11"/>
      <c r="G216" s="11"/>
      <c r="H216" s="11"/>
      <c r="I216" s="13" t="str">
        <f aca="false">IF(NOT(COUNTA($A216:$H216)&gt;0),"",IF(K216&amp;L216&amp;M216&lt;&gt;"","ERROR",IF(N216&amp;O216&amp;P216&lt;&gt;"","CHECK","OK")))</f>
        <v/>
      </c>
      <c r="J216" s="14" t="str">
        <f aca="false">TRIM(K216&amp;L216&amp;M216&amp;N216&amp;O216&amp;P216)</f>
        <v/>
      </c>
      <c r="K216" s="15" t="str">
        <f aca="true">IF(NOT(COUNTA($A216:$H216)&gt;0),"",IF(A216="","Missing date. ",IF(NOT(ISNUMBER(A216)),"Date is not a real date. ",IF(YEAR(A216)&lt;&gt;Settings!$B$4,"Date outside tax year. ",IF(A216&gt;TODAY(),"Date is in the future. ","")))))</f>
        <v/>
      </c>
      <c r="L216" s="15" t="str">
        <f aca="false">IF(NOT(COUNTA($A216:$H216)&gt;0),"",IF(E216="","Missing amount. ",IF(NOT(ISNUMBER(E216)),"Amount is not a number. ",IF(E216&lt;=0,"Amount must be above zero. ",""))))</f>
        <v/>
      </c>
      <c r="M216" s="15" t="str">
        <f aca="false">IF(NOT(COUNTA($A216:$H216)&gt;0),"",IF(D216="","Missing category. ",IF(COUNTIF(Settings!$B$11:$B$40,D216)=0,"Category not in your list. ","")))</f>
        <v/>
      </c>
      <c r="N216" s="15" t="str">
        <f aca="false">IF(AND(ISNUMBER(A216),ISNUMBER(E216),B216&lt;&gt;""),IF(COUNTIFS($A$6:$A$505,A216,$B$6:$B$505,B216,$E$6:$E$505,E216)&gt;1,"Possible duplicate. ",""),"")</f>
        <v/>
      </c>
      <c r="O216" s="15" t="str">
        <f aca="false">IF(AND(ISNUMBER(E216),E216&gt;=Settings!$B$6,G216&lt;&gt;"Yes"),"Receipt not marked as saved. ","")</f>
        <v/>
      </c>
      <c r="P216" s="15" t="str">
        <f aca="false">IF(AND(ISNUMBER(E216),E216&gt;=Settings!$B$5),"Large amount: review. ","")</f>
        <v/>
      </c>
    </row>
    <row r="217" customFormat="false" ht="15" hidden="false" customHeight="false" outlineLevel="0" collapsed="false">
      <c r="A217" s="10"/>
      <c r="B217" s="11"/>
      <c r="C217" s="11"/>
      <c r="D217" s="11"/>
      <c r="E217" s="12"/>
      <c r="F217" s="11"/>
      <c r="G217" s="11"/>
      <c r="H217" s="11"/>
      <c r="I217" s="13" t="str">
        <f aca="false">IF(NOT(COUNTA($A217:$H217)&gt;0),"",IF(K217&amp;L217&amp;M217&lt;&gt;"","ERROR",IF(N217&amp;O217&amp;P217&lt;&gt;"","CHECK","OK")))</f>
        <v/>
      </c>
      <c r="J217" s="14" t="str">
        <f aca="false">TRIM(K217&amp;L217&amp;M217&amp;N217&amp;O217&amp;P217)</f>
        <v/>
      </c>
      <c r="K217" s="15" t="str">
        <f aca="true">IF(NOT(COUNTA($A217:$H217)&gt;0),"",IF(A217="","Missing date. ",IF(NOT(ISNUMBER(A217)),"Date is not a real date. ",IF(YEAR(A217)&lt;&gt;Settings!$B$4,"Date outside tax year. ",IF(A217&gt;TODAY(),"Date is in the future. ","")))))</f>
        <v/>
      </c>
      <c r="L217" s="15" t="str">
        <f aca="false">IF(NOT(COUNTA($A217:$H217)&gt;0),"",IF(E217="","Missing amount. ",IF(NOT(ISNUMBER(E217)),"Amount is not a number. ",IF(E217&lt;=0,"Amount must be above zero. ",""))))</f>
        <v/>
      </c>
      <c r="M217" s="15" t="str">
        <f aca="false">IF(NOT(COUNTA($A217:$H217)&gt;0),"",IF(D217="","Missing category. ",IF(COUNTIF(Settings!$B$11:$B$40,D217)=0,"Category not in your list. ","")))</f>
        <v/>
      </c>
      <c r="N217" s="15" t="str">
        <f aca="false">IF(AND(ISNUMBER(A217),ISNUMBER(E217),B217&lt;&gt;""),IF(COUNTIFS($A$6:$A$505,A217,$B$6:$B$505,B217,$E$6:$E$505,E217)&gt;1,"Possible duplicate. ",""),"")</f>
        <v/>
      </c>
      <c r="O217" s="15" t="str">
        <f aca="false">IF(AND(ISNUMBER(E217),E217&gt;=Settings!$B$6,G217&lt;&gt;"Yes"),"Receipt not marked as saved. ","")</f>
        <v/>
      </c>
      <c r="P217" s="15" t="str">
        <f aca="false">IF(AND(ISNUMBER(E217),E217&gt;=Settings!$B$5),"Large amount: review. ","")</f>
        <v/>
      </c>
    </row>
    <row r="218" customFormat="false" ht="15" hidden="false" customHeight="false" outlineLevel="0" collapsed="false">
      <c r="A218" s="10"/>
      <c r="B218" s="11"/>
      <c r="C218" s="11"/>
      <c r="D218" s="11"/>
      <c r="E218" s="12"/>
      <c r="F218" s="11"/>
      <c r="G218" s="11"/>
      <c r="H218" s="11"/>
      <c r="I218" s="13" t="str">
        <f aca="false">IF(NOT(COUNTA($A218:$H218)&gt;0),"",IF(K218&amp;L218&amp;M218&lt;&gt;"","ERROR",IF(N218&amp;O218&amp;P218&lt;&gt;"","CHECK","OK")))</f>
        <v/>
      </c>
      <c r="J218" s="14" t="str">
        <f aca="false">TRIM(K218&amp;L218&amp;M218&amp;N218&amp;O218&amp;P218)</f>
        <v/>
      </c>
      <c r="K218" s="15" t="str">
        <f aca="true">IF(NOT(COUNTA($A218:$H218)&gt;0),"",IF(A218="","Missing date. ",IF(NOT(ISNUMBER(A218)),"Date is not a real date. ",IF(YEAR(A218)&lt;&gt;Settings!$B$4,"Date outside tax year. ",IF(A218&gt;TODAY(),"Date is in the future. ","")))))</f>
        <v/>
      </c>
      <c r="L218" s="15" t="str">
        <f aca="false">IF(NOT(COUNTA($A218:$H218)&gt;0),"",IF(E218="","Missing amount. ",IF(NOT(ISNUMBER(E218)),"Amount is not a number. ",IF(E218&lt;=0,"Amount must be above zero. ",""))))</f>
        <v/>
      </c>
      <c r="M218" s="15" t="str">
        <f aca="false">IF(NOT(COUNTA($A218:$H218)&gt;0),"",IF(D218="","Missing category. ",IF(COUNTIF(Settings!$B$11:$B$40,D218)=0,"Category not in your list. ","")))</f>
        <v/>
      </c>
      <c r="N218" s="15" t="str">
        <f aca="false">IF(AND(ISNUMBER(A218),ISNUMBER(E218),B218&lt;&gt;""),IF(COUNTIFS($A$6:$A$505,A218,$B$6:$B$505,B218,$E$6:$E$505,E218)&gt;1,"Possible duplicate. ",""),"")</f>
        <v/>
      </c>
      <c r="O218" s="15" t="str">
        <f aca="false">IF(AND(ISNUMBER(E218),E218&gt;=Settings!$B$6,G218&lt;&gt;"Yes"),"Receipt not marked as saved. ","")</f>
        <v/>
      </c>
      <c r="P218" s="15" t="str">
        <f aca="false">IF(AND(ISNUMBER(E218),E218&gt;=Settings!$B$5),"Large amount: review. ","")</f>
        <v/>
      </c>
    </row>
    <row r="219" customFormat="false" ht="15" hidden="false" customHeight="false" outlineLevel="0" collapsed="false">
      <c r="A219" s="10"/>
      <c r="B219" s="11"/>
      <c r="C219" s="11"/>
      <c r="D219" s="11"/>
      <c r="E219" s="12"/>
      <c r="F219" s="11"/>
      <c r="G219" s="11"/>
      <c r="H219" s="11"/>
      <c r="I219" s="13" t="str">
        <f aca="false">IF(NOT(COUNTA($A219:$H219)&gt;0),"",IF(K219&amp;L219&amp;M219&lt;&gt;"","ERROR",IF(N219&amp;O219&amp;P219&lt;&gt;"","CHECK","OK")))</f>
        <v/>
      </c>
      <c r="J219" s="14" t="str">
        <f aca="false">TRIM(K219&amp;L219&amp;M219&amp;N219&amp;O219&amp;P219)</f>
        <v/>
      </c>
      <c r="K219" s="15" t="str">
        <f aca="true">IF(NOT(COUNTA($A219:$H219)&gt;0),"",IF(A219="","Missing date. ",IF(NOT(ISNUMBER(A219)),"Date is not a real date. ",IF(YEAR(A219)&lt;&gt;Settings!$B$4,"Date outside tax year. ",IF(A219&gt;TODAY(),"Date is in the future. ","")))))</f>
        <v/>
      </c>
      <c r="L219" s="15" t="str">
        <f aca="false">IF(NOT(COUNTA($A219:$H219)&gt;0),"",IF(E219="","Missing amount. ",IF(NOT(ISNUMBER(E219)),"Amount is not a number. ",IF(E219&lt;=0,"Amount must be above zero. ",""))))</f>
        <v/>
      </c>
      <c r="M219" s="15" t="str">
        <f aca="false">IF(NOT(COUNTA($A219:$H219)&gt;0),"",IF(D219="","Missing category. ",IF(COUNTIF(Settings!$B$11:$B$40,D219)=0,"Category not in your list. ","")))</f>
        <v/>
      </c>
      <c r="N219" s="15" t="str">
        <f aca="false">IF(AND(ISNUMBER(A219),ISNUMBER(E219),B219&lt;&gt;""),IF(COUNTIFS($A$6:$A$505,A219,$B$6:$B$505,B219,$E$6:$E$505,E219)&gt;1,"Possible duplicate. ",""),"")</f>
        <v/>
      </c>
      <c r="O219" s="15" t="str">
        <f aca="false">IF(AND(ISNUMBER(E219),E219&gt;=Settings!$B$6,G219&lt;&gt;"Yes"),"Receipt not marked as saved. ","")</f>
        <v/>
      </c>
      <c r="P219" s="15" t="str">
        <f aca="false">IF(AND(ISNUMBER(E219),E219&gt;=Settings!$B$5),"Large amount: review. ","")</f>
        <v/>
      </c>
    </row>
    <row r="220" customFormat="false" ht="15" hidden="false" customHeight="false" outlineLevel="0" collapsed="false">
      <c r="A220" s="10"/>
      <c r="B220" s="11"/>
      <c r="C220" s="11"/>
      <c r="D220" s="11"/>
      <c r="E220" s="12"/>
      <c r="F220" s="11"/>
      <c r="G220" s="11"/>
      <c r="H220" s="11"/>
      <c r="I220" s="13" t="str">
        <f aca="false">IF(NOT(COUNTA($A220:$H220)&gt;0),"",IF(K220&amp;L220&amp;M220&lt;&gt;"","ERROR",IF(N220&amp;O220&amp;P220&lt;&gt;"","CHECK","OK")))</f>
        <v/>
      </c>
      <c r="J220" s="14" t="str">
        <f aca="false">TRIM(K220&amp;L220&amp;M220&amp;N220&amp;O220&amp;P220)</f>
        <v/>
      </c>
      <c r="K220" s="15" t="str">
        <f aca="true">IF(NOT(COUNTA($A220:$H220)&gt;0),"",IF(A220="","Missing date. ",IF(NOT(ISNUMBER(A220)),"Date is not a real date. ",IF(YEAR(A220)&lt;&gt;Settings!$B$4,"Date outside tax year. ",IF(A220&gt;TODAY(),"Date is in the future. ","")))))</f>
        <v/>
      </c>
      <c r="L220" s="15" t="str">
        <f aca="false">IF(NOT(COUNTA($A220:$H220)&gt;0),"",IF(E220="","Missing amount. ",IF(NOT(ISNUMBER(E220)),"Amount is not a number. ",IF(E220&lt;=0,"Amount must be above zero. ",""))))</f>
        <v/>
      </c>
      <c r="M220" s="15" t="str">
        <f aca="false">IF(NOT(COUNTA($A220:$H220)&gt;0),"",IF(D220="","Missing category. ",IF(COUNTIF(Settings!$B$11:$B$40,D220)=0,"Category not in your list. ","")))</f>
        <v/>
      </c>
      <c r="N220" s="15" t="str">
        <f aca="false">IF(AND(ISNUMBER(A220),ISNUMBER(E220),B220&lt;&gt;""),IF(COUNTIFS($A$6:$A$505,A220,$B$6:$B$505,B220,$E$6:$E$505,E220)&gt;1,"Possible duplicate. ",""),"")</f>
        <v/>
      </c>
      <c r="O220" s="15" t="str">
        <f aca="false">IF(AND(ISNUMBER(E220),E220&gt;=Settings!$B$6,G220&lt;&gt;"Yes"),"Receipt not marked as saved. ","")</f>
        <v/>
      </c>
      <c r="P220" s="15" t="str">
        <f aca="false">IF(AND(ISNUMBER(E220),E220&gt;=Settings!$B$5),"Large amount: review. ","")</f>
        <v/>
      </c>
    </row>
    <row r="221" customFormat="false" ht="15" hidden="false" customHeight="false" outlineLevel="0" collapsed="false">
      <c r="A221" s="10"/>
      <c r="B221" s="11"/>
      <c r="C221" s="11"/>
      <c r="D221" s="11"/>
      <c r="E221" s="12"/>
      <c r="F221" s="11"/>
      <c r="G221" s="11"/>
      <c r="H221" s="11"/>
      <c r="I221" s="13" t="str">
        <f aca="false">IF(NOT(COUNTA($A221:$H221)&gt;0),"",IF(K221&amp;L221&amp;M221&lt;&gt;"","ERROR",IF(N221&amp;O221&amp;P221&lt;&gt;"","CHECK","OK")))</f>
        <v/>
      </c>
      <c r="J221" s="14" t="str">
        <f aca="false">TRIM(K221&amp;L221&amp;M221&amp;N221&amp;O221&amp;P221)</f>
        <v/>
      </c>
      <c r="K221" s="15" t="str">
        <f aca="true">IF(NOT(COUNTA($A221:$H221)&gt;0),"",IF(A221="","Missing date. ",IF(NOT(ISNUMBER(A221)),"Date is not a real date. ",IF(YEAR(A221)&lt;&gt;Settings!$B$4,"Date outside tax year. ",IF(A221&gt;TODAY(),"Date is in the future. ","")))))</f>
        <v/>
      </c>
      <c r="L221" s="15" t="str">
        <f aca="false">IF(NOT(COUNTA($A221:$H221)&gt;0),"",IF(E221="","Missing amount. ",IF(NOT(ISNUMBER(E221)),"Amount is not a number. ",IF(E221&lt;=0,"Amount must be above zero. ",""))))</f>
        <v/>
      </c>
      <c r="M221" s="15" t="str">
        <f aca="false">IF(NOT(COUNTA($A221:$H221)&gt;0),"",IF(D221="","Missing category. ",IF(COUNTIF(Settings!$B$11:$B$40,D221)=0,"Category not in your list. ","")))</f>
        <v/>
      </c>
      <c r="N221" s="15" t="str">
        <f aca="false">IF(AND(ISNUMBER(A221),ISNUMBER(E221),B221&lt;&gt;""),IF(COUNTIFS($A$6:$A$505,A221,$B$6:$B$505,B221,$E$6:$E$505,E221)&gt;1,"Possible duplicate. ",""),"")</f>
        <v/>
      </c>
      <c r="O221" s="15" t="str">
        <f aca="false">IF(AND(ISNUMBER(E221),E221&gt;=Settings!$B$6,G221&lt;&gt;"Yes"),"Receipt not marked as saved. ","")</f>
        <v/>
      </c>
      <c r="P221" s="15" t="str">
        <f aca="false">IF(AND(ISNUMBER(E221),E221&gt;=Settings!$B$5),"Large amount: review. ","")</f>
        <v/>
      </c>
    </row>
    <row r="222" customFormat="false" ht="15" hidden="false" customHeight="false" outlineLevel="0" collapsed="false">
      <c r="A222" s="10"/>
      <c r="B222" s="11"/>
      <c r="C222" s="11"/>
      <c r="D222" s="11"/>
      <c r="E222" s="12"/>
      <c r="F222" s="11"/>
      <c r="G222" s="11"/>
      <c r="H222" s="11"/>
      <c r="I222" s="13" t="str">
        <f aca="false">IF(NOT(COUNTA($A222:$H222)&gt;0),"",IF(K222&amp;L222&amp;M222&lt;&gt;"","ERROR",IF(N222&amp;O222&amp;P222&lt;&gt;"","CHECK","OK")))</f>
        <v/>
      </c>
      <c r="J222" s="14" t="str">
        <f aca="false">TRIM(K222&amp;L222&amp;M222&amp;N222&amp;O222&amp;P222)</f>
        <v/>
      </c>
      <c r="K222" s="15" t="str">
        <f aca="true">IF(NOT(COUNTA($A222:$H222)&gt;0),"",IF(A222="","Missing date. ",IF(NOT(ISNUMBER(A222)),"Date is not a real date. ",IF(YEAR(A222)&lt;&gt;Settings!$B$4,"Date outside tax year. ",IF(A222&gt;TODAY(),"Date is in the future. ","")))))</f>
        <v/>
      </c>
      <c r="L222" s="15" t="str">
        <f aca="false">IF(NOT(COUNTA($A222:$H222)&gt;0),"",IF(E222="","Missing amount. ",IF(NOT(ISNUMBER(E222)),"Amount is not a number. ",IF(E222&lt;=0,"Amount must be above zero. ",""))))</f>
        <v/>
      </c>
      <c r="M222" s="15" t="str">
        <f aca="false">IF(NOT(COUNTA($A222:$H222)&gt;0),"",IF(D222="","Missing category. ",IF(COUNTIF(Settings!$B$11:$B$40,D222)=0,"Category not in your list. ","")))</f>
        <v/>
      </c>
      <c r="N222" s="15" t="str">
        <f aca="false">IF(AND(ISNUMBER(A222),ISNUMBER(E222),B222&lt;&gt;""),IF(COUNTIFS($A$6:$A$505,A222,$B$6:$B$505,B222,$E$6:$E$505,E222)&gt;1,"Possible duplicate. ",""),"")</f>
        <v/>
      </c>
      <c r="O222" s="15" t="str">
        <f aca="false">IF(AND(ISNUMBER(E222),E222&gt;=Settings!$B$6,G222&lt;&gt;"Yes"),"Receipt not marked as saved. ","")</f>
        <v/>
      </c>
      <c r="P222" s="15" t="str">
        <f aca="false">IF(AND(ISNUMBER(E222),E222&gt;=Settings!$B$5),"Large amount: review. ","")</f>
        <v/>
      </c>
    </row>
    <row r="223" customFormat="false" ht="15" hidden="false" customHeight="false" outlineLevel="0" collapsed="false">
      <c r="A223" s="10"/>
      <c r="B223" s="11"/>
      <c r="C223" s="11"/>
      <c r="D223" s="11"/>
      <c r="E223" s="12"/>
      <c r="F223" s="11"/>
      <c r="G223" s="11"/>
      <c r="H223" s="11"/>
      <c r="I223" s="13" t="str">
        <f aca="false">IF(NOT(COUNTA($A223:$H223)&gt;0),"",IF(K223&amp;L223&amp;M223&lt;&gt;"","ERROR",IF(N223&amp;O223&amp;P223&lt;&gt;"","CHECK","OK")))</f>
        <v/>
      </c>
      <c r="J223" s="14" t="str">
        <f aca="false">TRIM(K223&amp;L223&amp;M223&amp;N223&amp;O223&amp;P223)</f>
        <v/>
      </c>
      <c r="K223" s="15" t="str">
        <f aca="true">IF(NOT(COUNTA($A223:$H223)&gt;0),"",IF(A223="","Missing date. ",IF(NOT(ISNUMBER(A223)),"Date is not a real date. ",IF(YEAR(A223)&lt;&gt;Settings!$B$4,"Date outside tax year. ",IF(A223&gt;TODAY(),"Date is in the future. ","")))))</f>
        <v/>
      </c>
      <c r="L223" s="15" t="str">
        <f aca="false">IF(NOT(COUNTA($A223:$H223)&gt;0),"",IF(E223="","Missing amount. ",IF(NOT(ISNUMBER(E223)),"Amount is not a number. ",IF(E223&lt;=0,"Amount must be above zero. ",""))))</f>
        <v/>
      </c>
      <c r="M223" s="15" t="str">
        <f aca="false">IF(NOT(COUNTA($A223:$H223)&gt;0),"",IF(D223="","Missing category. ",IF(COUNTIF(Settings!$B$11:$B$40,D223)=0,"Category not in your list. ","")))</f>
        <v/>
      </c>
      <c r="N223" s="15" t="str">
        <f aca="false">IF(AND(ISNUMBER(A223),ISNUMBER(E223),B223&lt;&gt;""),IF(COUNTIFS($A$6:$A$505,A223,$B$6:$B$505,B223,$E$6:$E$505,E223)&gt;1,"Possible duplicate. ",""),"")</f>
        <v/>
      </c>
      <c r="O223" s="15" t="str">
        <f aca="false">IF(AND(ISNUMBER(E223),E223&gt;=Settings!$B$6,G223&lt;&gt;"Yes"),"Receipt not marked as saved. ","")</f>
        <v/>
      </c>
      <c r="P223" s="15" t="str">
        <f aca="false">IF(AND(ISNUMBER(E223),E223&gt;=Settings!$B$5),"Large amount: review. ","")</f>
        <v/>
      </c>
    </row>
    <row r="224" customFormat="false" ht="15" hidden="false" customHeight="false" outlineLevel="0" collapsed="false">
      <c r="A224" s="10"/>
      <c r="B224" s="11"/>
      <c r="C224" s="11"/>
      <c r="D224" s="11"/>
      <c r="E224" s="12"/>
      <c r="F224" s="11"/>
      <c r="G224" s="11"/>
      <c r="H224" s="11"/>
      <c r="I224" s="13" t="str">
        <f aca="false">IF(NOT(COUNTA($A224:$H224)&gt;0),"",IF(K224&amp;L224&amp;M224&lt;&gt;"","ERROR",IF(N224&amp;O224&amp;P224&lt;&gt;"","CHECK","OK")))</f>
        <v/>
      </c>
      <c r="J224" s="14" t="str">
        <f aca="false">TRIM(K224&amp;L224&amp;M224&amp;N224&amp;O224&amp;P224)</f>
        <v/>
      </c>
      <c r="K224" s="15" t="str">
        <f aca="true">IF(NOT(COUNTA($A224:$H224)&gt;0),"",IF(A224="","Missing date. ",IF(NOT(ISNUMBER(A224)),"Date is not a real date. ",IF(YEAR(A224)&lt;&gt;Settings!$B$4,"Date outside tax year. ",IF(A224&gt;TODAY(),"Date is in the future. ","")))))</f>
        <v/>
      </c>
      <c r="L224" s="15" t="str">
        <f aca="false">IF(NOT(COUNTA($A224:$H224)&gt;0),"",IF(E224="","Missing amount. ",IF(NOT(ISNUMBER(E224)),"Amount is not a number. ",IF(E224&lt;=0,"Amount must be above zero. ",""))))</f>
        <v/>
      </c>
      <c r="M224" s="15" t="str">
        <f aca="false">IF(NOT(COUNTA($A224:$H224)&gt;0),"",IF(D224="","Missing category. ",IF(COUNTIF(Settings!$B$11:$B$40,D224)=0,"Category not in your list. ","")))</f>
        <v/>
      </c>
      <c r="N224" s="15" t="str">
        <f aca="false">IF(AND(ISNUMBER(A224),ISNUMBER(E224),B224&lt;&gt;""),IF(COUNTIFS($A$6:$A$505,A224,$B$6:$B$505,B224,$E$6:$E$505,E224)&gt;1,"Possible duplicate. ",""),"")</f>
        <v/>
      </c>
      <c r="O224" s="15" t="str">
        <f aca="false">IF(AND(ISNUMBER(E224),E224&gt;=Settings!$B$6,G224&lt;&gt;"Yes"),"Receipt not marked as saved. ","")</f>
        <v/>
      </c>
      <c r="P224" s="15" t="str">
        <f aca="false">IF(AND(ISNUMBER(E224),E224&gt;=Settings!$B$5),"Large amount: review. ","")</f>
        <v/>
      </c>
    </row>
    <row r="225" customFormat="false" ht="15" hidden="false" customHeight="false" outlineLevel="0" collapsed="false">
      <c r="A225" s="10"/>
      <c r="B225" s="11"/>
      <c r="C225" s="11"/>
      <c r="D225" s="11"/>
      <c r="E225" s="12"/>
      <c r="F225" s="11"/>
      <c r="G225" s="11"/>
      <c r="H225" s="11"/>
      <c r="I225" s="13" t="str">
        <f aca="false">IF(NOT(COUNTA($A225:$H225)&gt;0),"",IF(K225&amp;L225&amp;M225&lt;&gt;"","ERROR",IF(N225&amp;O225&amp;P225&lt;&gt;"","CHECK","OK")))</f>
        <v/>
      </c>
      <c r="J225" s="14" t="str">
        <f aca="false">TRIM(K225&amp;L225&amp;M225&amp;N225&amp;O225&amp;P225)</f>
        <v/>
      </c>
      <c r="K225" s="15" t="str">
        <f aca="true">IF(NOT(COUNTA($A225:$H225)&gt;0),"",IF(A225="","Missing date. ",IF(NOT(ISNUMBER(A225)),"Date is not a real date. ",IF(YEAR(A225)&lt;&gt;Settings!$B$4,"Date outside tax year. ",IF(A225&gt;TODAY(),"Date is in the future. ","")))))</f>
        <v/>
      </c>
      <c r="L225" s="15" t="str">
        <f aca="false">IF(NOT(COUNTA($A225:$H225)&gt;0),"",IF(E225="","Missing amount. ",IF(NOT(ISNUMBER(E225)),"Amount is not a number. ",IF(E225&lt;=0,"Amount must be above zero. ",""))))</f>
        <v/>
      </c>
      <c r="M225" s="15" t="str">
        <f aca="false">IF(NOT(COUNTA($A225:$H225)&gt;0),"",IF(D225="","Missing category. ",IF(COUNTIF(Settings!$B$11:$B$40,D225)=0,"Category not in your list. ","")))</f>
        <v/>
      </c>
      <c r="N225" s="15" t="str">
        <f aca="false">IF(AND(ISNUMBER(A225),ISNUMBER(E225),B225&lt;&gt;""),IF(COUNTIFS($A$6:$A$505,A225,$B$6:$B$505,B225,$E$6:$E$505,E225)&gt;1,"Possible duplicate. ",""),"")</f>
        <v/>
      </c>
      <c r="O225" s="15" t="str">
        <f aca="false">IF(AND(ISNUMBER(E225),E225&gt;=Settings!$B$6,G225&lt;&gt;"Yes"),"Receipt not marked as saved. ","")</f>
        <v/>
      </c>
      <c r="P225" s="15" t="str">
        <f aca="false">IF(AND(ISNUMBER(E225),E225&gt;=Settings!$B$5),"Large amount: review. ","")</f>
        <v/>
      </c>
    </row>
    <row r="226" customFormat="false" ht="15" hidden="false" customHeight="false" outlineLevel="0" collapsed="false">
      <c r="A226" s="10"/>
      <c r="B226" s="11"/>
      <c r="C226" s="11"/>
      <c r="D226" s="11"/>
      <c r="E226" s="12"/>
      <c r="F226" s="11"/>
      <c r="G226" s="11"/>
      <c r="H226" s="11"/>
      <c r="I226" s="13" t="str">
        <f aca="false">IF(NOT(COUNTA($A226:$H226)&gt;0),"",IF(K226&amp;L226&amp;M226&lt;&gt;"","ERROR",IF(N226&amp;O226&amp;P226&lt;&gt;"","CHECK","OK")))</f>
        <v/>
      </c>
      <c r="J226" s="14" t="str">
        <f aca="false">TRIM(K226&amp;L226&amp;M226&amp;N226&amp;O226&amp;P226)</f>
        <v/>
      </c>
      <c r="K226" s="15" t="str">
        <f aca="true">IF(NOT(COUNTA($A226:$H226)&gt;0),"",IF(A226="","Missing date. ",IF(NOT(ISNUMBER(A226)),"Date is not a real date. ",IF(YEAR(A226)&lt;&gt;Settings!$B$4,"Date outside tax year. ",IF(A226&gt;TODAY(),"Date is in the future. ","")))))</f>
        <v/>
      </c>
      <c r="L226" s="15" t="str">
        <f aca="false">IF(NOT(COUNTA($A226:$H226)&gt;0),"",IF(E226="","Missing amount. ",IF(NOT(ISNUMBER(E226)),"Amount is not a number. ",IF(E226&lt;=0,"Amount must be above zero. ",""))))</f>
        <v/>
      </c>
      <c r="M226" s="15" t="str">
        <f aca="false">IF(NOT(COUNTA($A226:$H226)&gt;0),"",IF(D226="","Missing category. ",IF(COUNTIF(Settings!$B$11:$B$40,D226)=0,"Category not in your list. ","")))</f>
        <v/>
      </c>
      <c r="N226" s="15" t="str">
        <f aca="false">IF(AND(ISNUMBER(A226),ISNUMBER(E226),B226&lt;&gt;""),IF(COUNTIFS($A$6:$A$505,A226,$B$6:$B$505,B226,$E$6:$E$505,E226)&gt;1,"Possible duplicate. ",""),"")</f>
        <v/>
      </c>
      <c r="O226" s="15" t="str">
        <f aca="false">IF(AND(ISNUMBER(E226),E226&gt;=Settings!$B$6,G226&lt;&gt;"Yes"),"Receipt not marked as saved. ","")</f>
        <v/>
      </c>
      <c r="P226" s="15" t="str">
        <f aca="false">IF(AND(ISNUMBER(E226),E226&gt;=Settings!$B$5),"Large amount: review. ","")</f>
        <v/>
      </c>
    </row>
    <row r="227" customFormat="false" ht="15" hidden="false" customHeight="false" outlineLevel="0" collapsed="false">
      <c r="A227" s="10"/>
      <c r="B227" s="11"/>
      <c r="C227" s="11"/>
      <c r="D227" s="11"/>
      <c r="E227" s="12"/>
      <c r="F227" s="11"/>
      <c r="G227" s="11"/>
      <c r="H227" s="11"/>
      <c r="I227" s="13" t="str">
        <f aca="false">IF(NOT(COUNTA($A227:$H227)&gt;0),"",IF(K227&amp;L227&amp;M227&lt;&gt;"","ERROR",IF(N227&amp;O227&amp;P227&lt;&gt;"","CHECK","OK")))</f>
        <v/>
      </c>
      <c r="J227" s="14" t="str">
        <f aca="false">TRIM(K227&amp;L227&amp;M227&amp;N227&amp;O227&amp;P227)</f>
        <v/>
      </c>
      <c r="K227" s="15" t="str">
        <f aca="true">IF(NOT(COUNTA($A227:$H227)&gt;0),"",IF(A227="","Missing date. ",IF(NOT(ISNUMBER(A227)),"Date is not a real date. ",IF(YEAR(A227)&lt;&gt;Settings!$B$4,"Date outside tax year. ",IF(A227&gt;TODAY(),"Date is in the future. ","")))))</f>
        <v/>
      </c>
      <c r="L227" s="15" t="str">
        <f aca="false">IF(NOT(COUNTA($A227:$H227)&gt;0),"",IF(E227="","Missing amount. ",IF(NOT(ISNUMBER(E227)),"Amount is not a number. ",IF(E227&lt;=0,"Amount must be above zero. ",""))))</f>
        <v/>
      </c>
      <c r="M227" s="15" t="str">
        <f aca="false">IF(NOT(COUNTA($A227:$H227)&gt;0),"",IF(D227="","Missing category. ",IF(COUNTIF(Settings!$B$11:$B$40,D227)=0,"Category not in your list. ","")))</f>
        <v/>
      </c>
      <c r="N227" s="15" t="str">
        <f aca="false">IF(AND(ISNUMBER(A227),ISNUMBER(E227),B227&lt;&gt;""),IF(COUNTIFS($A$6:$A$505,A227,$B$6:$B$505,B227,$E$6:$E$505,E227)&gt;1,"Possible duplicate. ",""),"")</f>
        <v/>
      </c>
      <c r="O227" s="15" t="str">
        <f aca="false">IF(AND(ISNUMBER(E227),E227&gt;=Settings!$B$6,G227&lt;&gt;"Yes"),"Receipt not marked as saved. ","")</f>
        <v/>
      </c>
      <c r="P227" s="15" t="str">
        <f aca="false">IF(AND(ISNUMBER(E227),E227&gt;=Settings!$B$5),"Large amount: review. ","")</f>
        <v/>
      </c>
    </row>
    <row r="228" customFormat="false" ht="15" hidden="false" customHeight="false" outlineLevel="0" collapsed="false">
      <c r="A228" s="10"/>
      <c r="B228" s="11"/>
      <c r="C228" s="11"/>
      <c r="D228" s="11"/>
      <c r="E228" s="12"/>
      <c r="F228" s="11"/>
      <c r="G228" s="11"/>
      <c r="H228" s="11"/>
      <c r="I228" s="13" t="str">
        <f aca="false">IF(NOT(COUNTA($A228:$H228)&gt;0),"",IF(K228&amp;L228&amp;M228&lt;&gt;"","ERROR",IF(N228&amp;O228&amp;P228&lt;&gt;"","CHECK","OK")))</f>
        <v/>
      </c>
      <c r="J228" s="14" t="str">
        <f aca="false">TRIM(K228&amp;L228&amp;M228&amp;N228&amp;O228&amp;P228)</f>
        <v/>
      </c>
      <c r="K228" s="15" t="str">
        <f aca="true">IF(NOT(COUNTA($A228:$H228)&gt;0),"",IF(A228="","Missing date. ",IF(NOT(ISNUMBER(A228)),"Date is not a real date. ",IF(YEAR(A228)&lt;&gt;Settings!$B$4,"Date outside tax year. ",IF(A228&gt;TODAY(),"Date is in the future. ","")))))</f>
        <v/>
      </c>
      <c r="L228" s="15" t="str">
        <f aca="false">IF(NOT(COUNTA($A228:$H228)&gt;0),"",IF(E228="","Missing amount. ",IF(NOT(ISNUMBER(E228)),"Amount is not a number. ",IF(E228&lt;=0,"Amount must be above zero. ",""))))</f>
        <v/>
      </c>
      <c r="M228" s="15" t="str">
        <f aca="false">IF(NOT(COUNTA($A228:$H228)&gt;0),"",IF(D228="","Missing category. ",IF(COUNTIF(Settings!$B$11:$B$40,D228)=0,"Category not in your list. ","")))</f>
        <v/>
      </c>
      <c r="N228" s="15" t="str">
        <f aca="false">IF(AND(ISNUMBER(A228),ISNUMBER(E228),B228&lt;&gt;""),IF(COUNTIFS($A$6:$A$505,A228,$B$6:$B$505,B228,$E$6:$E$505,E228)&gt;1,"Possible duplicate. ",""),"")</f>
        <v/>
      </c>
      <c r="O228" s="15" t="str">
        <f aca="false">IF(AND(ISNUMBER(E228),E228&gt;=Settings!$B$6,G228&lt;&gt;"Yes"),"Receipt not marked as saved. ","")</f>
        <v/>
      </c>
      <c r="P228" s="15" t="str">
        <f aca="false">IF(AND(ISNUMBER(E228),E228&gt;=Settings!$B$5),"Large amount: review. ","")</f>
        <v/>
      </c>
    </row>
    <row r="229" customFormat="false" ht="15" hidden="false" customHeight="false" outlineLevel="0" collapsed="false">
      <c r="A229" s="10"/>
      <c r="B229" s="11"/>
      <c r="C229" s="11"/>
      <c r="D229" s="11"/>
      <c r="E229" s="12"/>
      <c r="F229" s="11"/>
      <c r="G229" s="11"/>
      <c r="H229" s="11"/>
      <c r="I229" s="13" t="str">
        <f aca="false">IF(NOT(COUNTA($A229:$H229)&gt;0),"",IF(K229&amp;L229&amp;M229&lt;&gt;"","ERROR",IF(N229&amp;O229&amp;P229&lt;&gt;"","CHECK","OK")))</f>
        <v/>
      </c>
      <c r="J229" s="14" t="str">
        <f aca="false">TRIM(K229&amp;L229&amp;M229&amp;N229&amp;O229&amp;P229)</f>
        <v/>
      </c>
      <c r="K229" s="15" t="str">
        <f aca="true">IF(NOT(COUNTA($A229:$H229)&gt;0),"",IF(A229="","Missing date. ",IF(NOT(ISNUMBER(A229)),"Date is not a real date. ",IF(YEAR(A229)&lt;&gt;Settings!$B$4,"Date outside tax year. ",IF(A229&gt;TODAY(),"Date is in the future. ","")))))</f>
        <v/>
      </c>
      <c r="L229" s="15" t="str">
        <f aca="false">IF(NOT(COUNTA($A229:$H229)&gt;0),"",IF(E229="","Missing amount. ",IF(NOT(ISNUMBER(E229)),"Amount is not a number. ",IF(E229&lt;=0,"Amount must be above zero. ",""))))</f>
        <v/>
      </c>
      <c r="M229" s="15" t="str">
        <f aca="false">IF(NOT(COUNTA($A229:$H229)&gt;0),"",IF(D229="","Missing category. ",IF(COUNTIF(Settings!$B$11:$B$40,D229)=0,"Category not in your list. ","")))</f>
        <v/>
      </c>
      <c r="N229" s="15" t="str">
        <f aca="false">IF(AND(ISNUMBER(A229),ISNUMBER(E229),B229&lt;&gt;""),IF(COUNTIFS($A$6:$A$505,A229,$B$6:$B$505,B229,$E$6:$E$505,E229)&gt;1,"Possible duplicate. ",""),"")</f>
        <v/>
      </c>
      <c r="O229" s="15" t="str">
        <f aca="false">IF(AND(ISNUMBER(E229),E229&gt;=Settings!$B$6,G229&lt;&gt;"Yes"),"Receipt not marked as saved. ","")</f>
        <v/>
      </c>
      <c r="P229" s="15" t="str">
        <f aca="false">IF(AND(ISNUMBER(E229),E229&gt;=Settings!$B$5),"Large amount: review. ","")</f>
        <v/>
      </c>
    </row>
    <row r="230" customFormat="false" ht="15" hidden="false" customHeight="false" outlineLevel="0" collapsed="false">
      <c r="A230" s="10"/>
      <c r="B230" s="11"/>
      <c r="C230" s="11"/>
      <c r="D230" s="11"/>
      <c r="E230" s="12"/>
      <c r="F230" s="11"/>
      <c r="G230" s="11"/>
      <c r="H230" s="11"/>
      <c r="I230" s="13" t="str">
        <f aca="false">IF(NOT(COUNTA($A230:$H230)&gt;0),"",IF(K230&amp;L230&amp;M230&lt;&gt;"","ERROR",IF(N230&amp;O230&amp;P230&lt;&gt;"","CHECK","OK")))</f>
        <v/>
      </c>
      <c r="J230" s="14" t="str">
        <f aca="false">TRIM(K230&amp;L230&amp;M230&amp;N230&amp;O230&amp;P230)</f>
        <v/>
      </c>
      <c r="K230" s="15" t="str">
        <f aca="true">IF(NOT(COUNTA($A230:$H230)&gt;0),"",IF(A230="","Missing date. ",IF(NOT(ISNUMBER(A230)),"Date is not a real date. ",IF(YEAR(A230)&lt;&gt;Settings!$B$4,"Date outside tax year. ",IF(A230&gt;TODAY(),"Date is in the future. ","")))))</f>
        <v/>
      </c>
      <c r="L230" s="15" t="str">
        <f aca="false">IF(NOT(COUNTA($A230:$H230)&gt;0),"",IF(E230="","Missing amount. ",IF(NOT(ISNUMBER(E230)),"Amount is not a number. ",IF(E230&lt;=0,"Amount must be above zero. ",""))))</f>
        <v/>
      </c>
      <c r="M230" s="15" t="str">
        <f aca="false">IF(NOT(COUNTA($A230:$H230)&gt;0),"",IF(D230="","Missing category. ",IF(COUNTIF(Settings!$B$11:$B$40,D230)=0,"Category not in your list. ","")))</f>
        <v/>
      </c>
      <c r="N230" s="15" t="str">
        <f aca="false">IF(AND(ISNUMBER(A230),ISNUMBER(E230),B230&lt;&gt;""),IF(COUNTIFS($A$6:$A$505,A230,$B$6:$B$505,B230,$E$6:$E$505,E230)&gt;1,"Possible duplicate. ",""),"")</f>
        <v/>
      </c>
      <c r="O230" s="15" t="str">
        <f aca="false">IF(AND(ISNUMBER(E230),E230&gt;=Settings!$B$6,G230&lt;&gt;"Yes"),"Receipt not marked as saved. ","")</f>
        <v/>
      </c>
      <c r="P230" s="15" t="str">
        <f aca="false">IF(AND(ISNUMBER(E230),E230&gt;=Settings!$B$5),"Large amount: review. ","")</f>
        <v/>
      </c>
    </row>
    <row r="231" customFormat="false" ht="15" hidden="false" customHeight="false" outlineLevel="0" collapsed="false">
      <c r="A231" s="10"/>
      <c r="B231" s="11"/>
      <c r="C231" s="11"/>
      <c r="D231" s="11"/>
      <c r="E231" s="12"/>
      <c r="F231" s="11"/>
      <c r="G231" s="11"/>
      <c r="H231" s="11"/>
      <c r="I231" s="13" t="str">
        <f aca="false">IF(NOT(COUNTA($A231:$H231)&gt;0),"",IF(K231&amp;L231&amp;M231&lt;&gt;"","ERROR",IF(N231&amp;O231&amp;P231&lt;&gt;"","CHECK","OK")))</f>
        <v/>
      </c>
      <c r="J231" s="14" t="str">
        <f aca="false">TRIM(K231&amp;L231&amp;M231&amp;N231&amp;O231&amp;P231)</f>
        <v/>
      </c>
      <c r="K231" s="15" t="str">
        <f aca="true">IF(NOT(COUNTA($A231:$H231)&gt;0),"",IF(A231="","Missing date. ",IF(NOT(ISNUMBER(A231)),"Date is not a real date. ",IF(YEAR(A231)&lt;&gt;Settings!$B$4,"Date outside tax year. ",IF(A231&gt;TODAY(),"Date is in the future. ","")))))</f>
        <v/>
      </c>
      <c r="L231" s="15" t="str">
        <f aca="false">IF(NOT(COUNTA($A231:$H231)&gt;0),"",IF(E231="","Missing amount. ",IF(NOT(ISNUMBER(E231)),"Amount is not a number. ",IF(E231&lt;=0,"Amount must be above zero. ",""))))</f>
        <v/>
      </c>
      <c r="M231" s="15" t="str">
        <f aca="false">IF(NOT(COUNTA($A231:$H231)&gt;0),"",IF(D231="","Missing category. ",IF(COUNTIF(Settings!$B$11:$B$40,D231)=0,"Category not in your list. ","")))</f>
        <v/>
      </c>
      <c r="N231" s="15" t="str">
        <f aca="false">IF(AND(ISNUMBER(A231),ISNUMBER(E231),B231&lt;&gt;""),IF(COUNTIFS($A$6:$A$505,A231,$B$6:$B$505,B231,$E$6:$E$505,E231)&gt;1,"Possible duplicate. ",""),"")</f>
        <v/>
      </c>
      <c r="O231" s="15" t="str">
        <f aca="false">IF(AND(ISNUMBER(E231),E231&gt;=Settings!$B$6,G231&lt;&gt;"Yes"),"Receipt not marked as saved. ","")</f>
        <v/>
      </c>
      <c r="P231" s="15" t="str">
        <f aca="false">IF(AND(ISNUMBER(E231),E231&gt;=Settings!$B$5),"Large amount: review. ","")</f>
        <v/>
      </c>
    </row>
    <row r="232" customFormat="false" ht="15" hidden="false" customHeight="false" outlineLevel="0" collapsed="false">
      <c r="A232" s="10"/>
      <c r="B232" s="11"/>
      <c r="C232" s="11"/>
      <c r="D232" s="11"/>
      <c r="E232" s="12"/>
      <c r="F232" s="11"/>
      <c r="G232" s="11"/>
      <c r="H232" s="11"/>
      <c r="I232" s="13" t="str">
        <f aca="false">IF(NOT(COUNTA($A232:$H232)&gt;0),"",IF(K232&amp;L232&amp;M232&lt;&gt;"","ERROR",IF(N232&amp;O232&amp;P232&lt;&gt;"","CHECK","OK")))</f>
        <v/>
      </c>
      <c r="J232" s="14" t="str">
        <f aca="false">TRIM(K232&amp;L232&amp;M232&amp;N232&amp;O232&amp;P232)</f>
        <v/>
      </c>
      <c r="K232" s="15" t="str">
        <f aca="true">IF(NOT(COUNTA($A232:$H232)&gt;0),"",IF(A232="","Missing date. ",IF(NOT(ISNUMBER(A232)),"Date is not a real date. ",IF(YEAR(A232)&lt;&gt;Settings!$B$4,"Date outside tax year. ",IF(A232&gt;TODAY(),"Date is in the future. ","")))))</f>
        <v/>
      </c>
      <c r="L232" s="15" t="str">
        <f aca="false">IF(NOT(COUNTA($A232:$H232)&gt;0),"",IF(E232="","Missing amount. ",IF(NOT(ISNUMBER(E232)),"Amount is not a number. ",IF(E232&lt;=0,"Amount must be above zero. ",""))))</f>
        <v/>
      </c>
      <c r="M232" s="15" t="str">
        <f aca="false">IF(NOT(COUNTA($A232:$H232)&gt;0),"",IF(D232="","Missing category. ",IF(COUNTIF(Settings!$B$11:$B$40,D232)=0,"Category not in your list. ","")))</f>
        <v/>
      </c>
      <c r="N232" s="15" t="str">
        <f aca="false">IF(AND(ISNUMBER(A232),ISNUMBER(E232),B232&lt;&gt;""),IF(COUNTIFS($A$6:$A$505,A232,$B$6:$B$505,B232,$E$6:$E$505,E232)&gt;1,"Possible duplicate. ",""),"")</f>
        <v/>
      </c>
      <c r="O232" s="15" t="str">
        <f aca="false">IF(AND(ISNUMBER(E232),E232&gt;=Settings!$B$6,G232&lt;&gt;"Yes"),"Receipt not marked as saved. ","")</f>
        <v/>
      </c>
      <c r="P232" s="15" t="str">
        <f aca="false">IF(AND(ISNUMBER(E232),E232&gt;=Settings!$B$5),"Large amount: review. ","")</f>
        <v/>
      </c>
    </row>
    <row r="233" customFormat="false" ht="15" hidden="false" customHeight="false" outlineLevel="0" collapsed="false">
      <c r="A233" s="10"/>
      <c r="B233" s="11"/>
      <c r="C233" s="11"/>
      <c r="D233" s="11"/>
      <c r="E233" s="12"/>
      <c r="F233" s="11"/>
      <c r="G233" s="11"/>
      <c r="H233" s="11"/>
      <c r="I233" s="13" t="str">
        <f aca="false">IF(NOT(COUNTA($A233:$H233)&gt;0),"",IF(K233&amp;L233&amp;M233&lt;&gt;"","ERROR",IF(N233&amp;O233&amp;P233&lt;&gt;"","CHECK","OK")))</f>
        <v/>
      </c>
      <c r="J233" s="14" t="str">
        <f aca="false">TRIM(K233&amp;L233&amp;M233&amp;N233&amp;O233&amp;P233)</f>
        <v/>
      </c>
      <c r="K233" s="15" t="str">
        <f aca="true">IF(NOT(COUNTA($A233:$H233)&gt;0),"",IF(A233="","Missing date. ",IF(NOT(ISNUMBER(A233)),"Date is not a real date. ",IF(YEAR(A233)&lt;&gt;Settings!$B$4,"Date outside tax year. ",IF(A233&gt;TODAY(),"Date is in the future. ","")))))</f>
        <v/>
      </c>
      <c r="L233" s="15" t="str">
        <f aca="false">IF(NOT(COUNTA($A233:$H233)&gt;0),"",IF(E233="","Missing amount. ",IF(NOT(ISNUMBER(E233)),"Amount is not a number. ",IF(E233&lt;=0,"Amount must be above zero. ",""))))</f>
        <v/>
      </c>
      <c r="M233" s="15" t="str">
        <f aca="false">IF(NOT(COUNTA($A233:$H233)&gt;0),"",IF(D233="","Missing category. ",IF(COUNTIF(Settings!$B$11:$B$40,D233)=0,"Category not in your list. ","")))</f>
        <v/>
      </c>
      <c r="N233" s="15" t="str">
        <f aca="false">IF(AND(ISNUMBER(A233),ISNUMBER(E233),B233&lt;&gt;""),IF(COUNTIFS($A$6:$A$505,A233,$B$6:$B$505,B233,$E$6:$E$505,E233)&gt;1,"Possible duplicate. ",""),"")</f>
        <v/>
      </c>
      <c r="O233" s="15" t="str">
        <f aca="false">IF(AND(ISNUMBER(E233),E233&gt;=Settings!$B$6,G233&lt;&gt;"Yes"),"Receipt not marked as saved. ","")</f>
        <v/>
      </c>
      <c r="P233" s="15" t="str">
        <f aca="false">IF(AND(ISNUMBER(E233),E233&gt;=Settings!$B$5),"Large amount: review. ","")</f>
        <v/>
      </c>
    </row>
    <row r="234" customFormat="false" ht="15" hidden="false" customHeight="false" outlineLevel="0" collapsed="false">
      <c r="A234" s="10"/>
      <c r="B234" s="11"/>
      <c r="C234" s="11"/>
      <c r="D234" s="11"/>
      <c r="E234" s="12"/>
      <c r="F234" s="11"/>
      <c r="G234" s="11"/>
      <c r="H234" s="11"/>
      <c r="I234" s="13" t="str">
        <f aca="false">IF(NOT(COUNTA($A234:$H234)&gt;0),"",IF(K234&amp;L234&amp;M234&lt;&gt;"","ERROR",IF(N234&amp;O234&amp;P234&lt;&gt;"","CHECK","OK")))</f>
        <v/>
      </c>
      <c r="J234" s="14" t="str">
        <f aca="false">TRIM(K234&amp;L234&amp;M234&amp;N234&amp;O234&amp;P234)</f>
        <v/>
      </c>
      <c r="K234" s="15" t="str">
        <f aca="true">IF(NOT(COUNTA($A234:$H234)&gt;0),"",IF(A234="","Missing date. ",IF(NOT(ISNUMBER(A234)),"Date is not a real date. ",IF(YEAR(A234)&lt;&gt;Settings!$B$4,"Date outside tax year. ",IF(A234&gt;TODAY(),"Date is in the future. ","")))))</f>
        <v/>
      </c>
      <c r="L234" s="15" t="str">
        <f aca="false">IF(NOT(COUNTA($A234:$H234)&gt;0),"",IF(E234="","Missing amount. ",IF(NOT(ISNUMBER(E234)),"Amount is not a number. ",IF(E234&lt;=0,"Amount must be above zero. ",""))))</f>
        <v/>
      </c>
      <c r="M234" s="15" t="str">
        <f aca="false">IF(NOT(COUNTA($A234:$H234)&gt;0),"",IF(D234="","Missing category. ",IF(COUNTIF(Settings!$B$11:$B$40,D234)=0,"Category not in your list. ","")))</f>
        <v/>
      </c>
      <c r="N234" s="15" t="str">
        <f aca="false">IF(AND(ISNUMBER(A234),ISNUMBER(E234),B234&lt;&gt;""),IF(COUNTIFS($A$6:$A$505,A234,$B$6:$B$505,B234,$E$6:$E$505,E234)&gt;1,"Possible duplicate. ",""),"")</f>
        <v/>
      </c>
      <c r="O234" s="15" t="str">
        <f aca="false">IF(AND(ISNUMBER(E234),E234&gt;=Settings!$B$6,G234&lt;&gt;"Yes"),"Receipt not marked as saved. ","")</f>
        <v/>
      </c>
      <c r="P234" s="15" t="str">
        <f aca="false">IF(AND(ISNUMBER(E234),E234&gt;=Settings!$B$5),"Large amount: review. ","")</f>
        <v/>
      </c>
    </row>
    <row r="235" customFormat="false" ht="15" hidden="false" customHeight="false" outlineLevel="0" collapsed="false">
      <c r="A235" s="10"/>
      <c r="B235" s="11"/>
      <c r="C235" s="11"/>
      <c r="D235" s="11"/>
      <c r="E235" s="12"/>
      <c r="F235" s="11"/>
      <c r="G235" s="11"/>
      <c r="H235" s="11"/>
      <c r="I235" s="13" t="str">
        <f aca="false">IF(NOT(COUNTA($A235:$H235)&gt;0),"",IF(K235&amp;L235&amp;M235&lt;&gt;"","ERROR",IF(N235&amp;O235&amp;P235&lt;&gt;"","CHECK","OK")))</f>
        <v/>
      </c>
      <c r="J235" s="14" t="str">
        <f aca="false">TRIM(K235&amp;L235&amp;M235&amp;N235&amp;O235&amp;P235)</f>
        <v/>
      </c>
      <c r="K235" s="15" t="str">
        <f aca="true">IF(NOT(COUNTA($A235:$H235)&gt;0),"",IF(A235="","Missing date. ",IF(NOT(ISNUMBER(A235)),"Date is not a real date. ",IF(YEAR(A235)&lt;&gt;Settings!$B$4,"Date outside tax year. ",IF(A235&gt;TODAY(),"Date is in the future. ","")))))</f>
        <v/>
      </c>
      <c r="L235" s="15" t="str">
        <f aca="false">IF(NOT(COUNTA($A235:$H235)&gt;0),"",IF(E235="","Missing amount. ",IF(NOT(ISNUMBER(E235)),"Amount is not a number. ",IF(E235&lt;=0,"Amount must be above zero. ",""))))</f>
        <v/>
      </c>
      <c r="M235" s="15" t="str">
        <f aca="false">IF(NOT(COUNTA($A235:$H235)&gt;0),"",IF(D235="","Missing category. ",IF(COUNTIF(Settings!$B$11:$B$40,D235)=0,"Category not in your list. ","")))</f>
        <v/>
      </c>
      <c r="N235" s="15" t="str">
        <f aca="false">IF(AND(ISNUMBER(A235),ISNUMBER(E235),B235&lt;&gt;""),IF(COUNTIFS($A$6:$A$505,A235,$B$6:$B$505,B235,$E$6:$E$505,E235)&gt;1,"Possible duplicate. ",""),"")</f>
        <v/>
      </c>
      <c r="O235" s="15" t="str">
        <f aca="false">IF(AND(ISNUMBER(E235),E235&gt;=Settings!$B$6,G235&lt;&gt;"Yes"),"Receipt not marked as saved. ","")</f>
        <v/>
      </c>
      <c r="P235" s="15" t="str">
        <f aca="false">IF(AND(ISNUMBER(E235),E235&gt;=Settings!$B$5),"Large amount: review. ","")</f>
        <v/>
      </c>
    </row>
    <row r="236" customFormat="false" ht="15" hidden="false" customHeight="false" outlineLevel="0" collapsed="false">
      <c r="A236" s="10"/>
      <c r="B236" s="11"/>
      <c r="C236" s="11"/>
      <c r="D236" s="11"/>
      <c r="E236" s="12"/>
      <c r="F236" s="11"/>
      <c r="G236" s="11"/>
      <c r="H236" s="11"/>
      <c r="I236" s="13" t="str">
        <f aca="false">IF(NOT(COUNTA($A236:$H236)&gt;0),"",IF(K236&amp;L236&amp;M236&lt;&gt;"","ERROR",IF(N236&amp;O236&amp;P236&lt;&gt;"","CHECK","OK")))</f>
        <v/>
      </c>
      <c r="J236" s="14" t="str">
        <f aca="false">TRIM(K236&amp;L236&amp;M236&amp;N236&amp;O236&amp;P236)</f>
        <v/>
      </c>
      <c r="K236" s="15" t="str">
        <f aca="true">IF(NOT(COUNTA($A236:$H236)&gt;0),"",IF(A236="","Missing date. ",IF(NOT(ISNUMBER(A236)),"Date is not a real date. ",IF(YEAR(A236)&lt;&gt;Settings!$B$4,"Date outside tax year. ",IF(A236&gt;TODAY(),"Date is in the future. ","")))))</f>
        <v/>
      </c>
      <c r="L236" s="15" t="str">
        <f aca="false">IF(NOT(COUNTA($A236:$H236)&gt;0),"",IF(E236="","Missing amount. ",IF(NOT(ISNUMBER(E236)),"Amount is not a number. ",IF(E236&lt;=0,"Amount must be above zero. ",""))))</f>
        <v/>
      </c>
      <c r="M236" s="15" t="str">
        <f aca="false">IF(NOT(COUNTA($A236:$H236)&gt;0),"",IF(D236="","Missing category. ",IF(COUNTIF(Settings!$B$11:$B$40,D236)=0,"Category not in your list. ","")))</f>
        <v/>
      </c>
      <c r="N236" s="15" t="str">
        <f aca="false">IF(AND(ISNUMBER(A236),ISNUMBER(E236),B236&lt;&gt;""),IF(COUNTIFS($A$6:$A$505,A236,$B$6:$B$505,B236,$E$6:$E$505,E236)&gt;1,"Possible duplicate. ",""),"")</f>
        <v/>
      </c>
      <c r="O236" s="15" t="str">
        <f aca="false">IF(AND(ISNUMBER(E236),E236&gt;=Settings!$B$6,G236&lt;&gt;"Yes"),"Receipt not marked as saved. ","")</f>
        <v/>
      </c>
      <c r="P236" s="15" t="str">
        <f aca="false">IF(AND(ISNUMBER(E236),E236&gt;=Settings!$B$5),"Large amount: review. ","")</f>
        <v/>
      </c>
    </row>
    <row r="237" customFormat="false" ht="15" hidden="false" customHeight="false" outlineLevel="0" collapsed="false">
      <c r="A237" s="10"/>
      <c r="B237" s="11"/>
      <c r="C237" s="11"/>
      <c r="D237" s="11"/>
      <c r="E237" s="12"/>
      <c r="F237" s="11"/>
      <c r="G237" s="11"/>
      <c r="H237" s="11"/>
      <c r="I237" s="13" t="str">
        <f aca="false">IF(NOT(COUNTA($A237:$H237)&gt;0),"",IF(K237&amp;L237&amp;M237&lt;&gt;"","ERROR",IF(N237&amp;O237&amp;P237&lt;&gt;"","CHECK","OK")))</f>
        <v/>
      </c>
      <c r="J237" s="14" t="str">
        <f aca="false">TRIM(K237&amp;L237&amp;M237&amp;N237&amp;O237&amp;P237)</f>
        <v/>
      </c>
      <c r="K237" s="15" t="str">
        <f aca="true">IF(NOT(COUNTA($A237:$H237)&gt;0),"",IF(A237="","Missing date. ",IF(NOT(ISNUMBER(A237)),"Date is not a real date. ",IF(YEAR(A237)&lt;&gt;Settings!$B$4,"Date outside tax year. ",IF(A237&gt;TODAY(),"Date is in the future. ","")))))</f>
        <v/>
      </c>
      <c r="L237" s="15" t="str">
        <f aca="false">IF(NOT(COUNTA($A237:$H237)&gt;0),"",IF(E237="","Missing amount. ",IF(NOT(ISNUMBER(E237)),"Amount is not a number. ",IF(E237&lt;=0,"Amount must be above zero. ",""))))</f>
        <v/>
      </c>
      <c r="M237" s="15" t="str">
        <f aca="false">IF(NOT(COUNTA($A237:$H237)&gt;0),"",IF(D237="","Missing category. ",IF(COUNTIF(Settings!$B$11:$B$40,D237)=0,"Category not in your list. ","")))</f>
        <v/>
      </c>
      <c r="N237" s="15" t="str">
        <f aca="false">IF(AND(ISNUMBER(A237),ISNUMBER(E237),B237&lt;&gt;""),IF(COUNTIFS($A$6:$A$505,A237,$B$6:$B$505,B237,$E$6:$E$505,E237)&gt;1,"Possible duplicate. ",""),"")</f>
        <v/>
      </c>
      <c r="O237" s="15" t="str">
        <f aca="false">IF(AND(ISNUMBER(E237),E237&gt;=Settings!$B$6,G237&lt;&gt;"Yes"),"Receipt not marked as saved. ","")</f>
        <v/>
      </c>
      <c r="P237" s="15" t="str">
        <f aca="false">IF(AND(ISNUMBER(E237),E237&gt;=Settings!$B$5),"Large amount: review. ","")</f>
        <v/>
      </c>
    </row>
    <row r="238" customFormat="false" ht="15" hidden="false" customHeight="false" outlineLevel="0" collapsed="false">
      <c r="A238" s="10"/>
      <c r="B238" s="11"/>
      <c r="C238" s="11"/>
      <c r="D238" s="11"/>
      <c r="E238" s="12"/>
      <c r="F238" s="11"/>
      <c r="G238" s="11"/>
      <c r="H238" s="11"/>
      <c r="I238" s="13" t="str">
        <f aca="false">IF(NOT(COUNTA($A238:$H238)&gt;0),"",IF(K238&amp;L238&amp;M238&lt;&gt;"","ERROR",IF(N238&amp;O238&amp;P238&lt;&gt;"","CHECK","OK")))</f>
        <v/>
      </c>
      <c r="J238" s="14" t="str">
        <f aca="false">TRIM(K238&amp;L238&amp;M238&amp;N238&amp;O238&amp;P238)</f>
        <v/>
      </c>
      <c r="K238" s="15" t="str">
        <f aca="true">IF(NOT(COUNTA($A238:$H238)&gt;0),"",IF(A238="","Missing date. ",IF(NOT(ISNUMBER(A238)),"Date is not a real date. ",IF(YEAR(A238)&lt;&gt;Settings!$B$4,"Date outside tax year. ",IF(A238&gt;TODAY(),"Date is in the future. ","")))))</f>
        <v/>
      </c>
      <c r="L238" s="15" t="str">
        <f aca="false">IF(NOT(COUNTA($A238:$H238)&gt;0),"",IF(E238="","Missing amount. ",IF(NOT(ISNUMBER(E238)),"Amount is not a number. ",IF(E238&lt;=0,"Amount must be above zero. ",""))))</f>
        <v/>
      </c>
      <c r="M238" s="15" t="str">
        <f aca="false">IF(NOT(COUNTA($A238:$H238)&gt;0),"",IF(D238="","Missing category. ",IF(COUNTIF(Settings!$B$11:$B$40,D238)=0,"Category not in your list. ","")))</f>
        <v/>
      </c>
      <c r="N238" s="15" t="str">
        <f aca="false">IF(AND(ISNUMBER(A238),ISNUMBER(E238),B238&lt;&gt;""),IF(COUNTIFS($A$6:$A$505,A238,$B$6:$B$505,B238,$E$6:$E$505,E238)&gt;1,"Possible duplicate. ",""),"")</f>
        <v/>
      </c>
      <c r="O238" s="15" t="str">
        <f aca="false">IF(AND(ISNUMBER(E238),E238&gt;=Settings!$B$6,G238&lt;&gt;"Yes"),"Receipt not marked as saved. ","")</f>
        <v/>
      </c>
      <c r="P238" s="15" t="str">
        <f aca="false">IF(AND(ISNUMBER(E238),E238&gt;=Settings!$B$5),"Large amount: review. ","")</f>
        <v/>
      </c>
    </row>
    <row r="239" customFormat="false" ht="15" hidden="false" customHeight="false" outlineLevel="0" collapsed="false">
      <c r="A239" s="10"/>
      <c r="B239" s="11"/>
      <c r="C239" s="11"/>
      <c r="D239" s="11"/>
      <c r="E239" s="12"/>
      <c r="F239" s="11"/>
      <c r="G239" s="11"/>
      <c r="H239" s="11"/>
      <c r="I239" s="13" t="str">
        <f aca="false">IF(NOT(COUNTA($A239:$H239)&gt;0),"",IF(K239&amp;L239&amp;M239&lt;&gt;"","ERROR",IF(N239&amp;O239&amp;P239&lt;&gt;"","CHECK","OK")))</f>
        <v/>
      </c>
      <c r="J239" s="14" t="str">
        <f aca="false">TRIM(K239&amp;L239&amp;M239&amp;N239&amp;O239&amp;P239)</f>
        <v/>
      </c>
      <c r="K239" s="15" t="str">
        <f aca="true">IF(NOT(COUNTA($A239:$H239)&gt;0),"",IF(A239="","Missing date. ",IF(NOT(ISNUMBER(A239)),"Date is not a real date. ",IF(YEAR(A239)&lt;&gt;Settings!$B$4,"Date outside tax year. ",IF(A239&gt;TODAY(),"Date is in the future. ","")))))</f>
        <v/>
      </c>
      <c r="L239" s="15" t="str">
        <f aca="false">IF(NOT(COUNTA($A239:$H239)&gt;0),"",IF(E239="","Missing amount. ",IF(NOT(ISNUMBER(E239)),"Amount is not a number. ",IF(E239&lt;=0,"Amount must be above zero. ",""))))</f>
        <v/>
      </c>
      <c r="M239" s="15" t="str">
        <f aca="false">IF(NOT(COUNTA($A239:$H239)&gt;0),"",IF(D239="","Missing category. ",IF(COUNTIF(Settings!$B$11:$B$40,D239)=0,"Category not in your list. ","")))</f>
        <v/>
      </c>
      <c r="N239" s="15" t="str">
        <f aca="false">IF(AND(ISNUMBER(A239),ISNUMBER(E239),B239&lt;&gt;""),IF(COUNTIFS($A$6:$A$505,A239,$B$6:$B$505,B239,$E$6:$E$505,E239)&gt;1,"Possible duplicate. ",""),"")</f>
        <v/>
      </c>
      <c r="O239" s="15" t="str">
        <f aca="false">IF(AND(ISNUMBER(E239),E239&gt;=Settings!$B$6,G239&lt;&gt;"Yes"),"Receipt not marked as saved. ","")</f>
        <v/>
      </c>
      <c r="P239" s="15" t="str">
        <f aca="false">IF(AND(ISNUMBER(E239),E239&gt;=Settings!$B$5),"Large amount: review. ","")</f>
        <v/>
      </c>
    </row>
    <row r="240" customFormat="false" ht="15" hidden="false" customHeight="false" outlineLevel="0" collapsed="false">
      <c r="A240" s="10"/>
      <c r="B240" s="11"/>
      <c r="C240" s="11"/>
      <c r="D240" s="11"/>
      <c r="E240" s="12"/>
      <c r="F240" s="11"/>
      <c r="G240" s="11"/>
      <c r="H240" s="11"/>
      <c r="I240" s="13" t="str">
        <f aca="false">IF(NOT(COUNTA($A240:$H240)&gt;0),"",IF(K240&amp;L240&amp;M240&lt;&gt;"","ERROR",IF(N240&amp;O240&amp;P240&lt;&gt;"","CHECK","OK")))</f>
        <v/>
      </c>
      <c r="J240" s="14" t="str">
        <f aca="false">TRIM(K240&amp;L240&amp;M240&amp;N240&amp;O240&amp;P240)</f>
        <v/>
      </c>
      <c r="K240" s="15" t="str">
        <f aca="true">IF(NOT(COUNTA($A240:$H240)&gt;0),"",IF(A240="","Missing date. ",IF(NOT(ISNUMBER(A240)),"Date is not a real date. ",IF(YEAR(A240)&lt;&gt;Settings!$B$4,"Date outside tax year. ",IF(A240&gt;TODAY(),"Date is in the future. ","")))))</f>
        <v/>
      </c>
      <c r="L240" s="15" t="str">
        <f aca="false">IF(NOT(COUNTA($A240:$H240)&gt;0),"",IF(E240="","Missing amount. ",IF(NOT(ISNUMBER(E240)),"Amount is not a number. ",IF(E240&lt;=0,"Amount must be above zero. ",""))))</f>
        <v/>
      </c>
      <c r="M240" s="15" t="str">
        <f aca="false">IF(NOT(COUNTA($A240:$H240)&gt;0),"",IF(D240="","Missing category. ",IF(COUNTIF(Settings!$B$11:$B$40,D240)=0,"Category not in your list. ","")))</f>
        <v/>
      </c>
      <c r="N240" s="15" t="str">
        <f aca="false">IF(AND(ISNUMBER(A240),ISNUMBER(E240),B240&lt;&gt;""),IF(COUNTIFS($A$6:$A$505,A240,$B$6:$B$505,B240,$E$6:$E$505,E240)&gt;1,"Possible duplicate. ",""),"")</f>
        <v/>
      </c>
      <c r="O240" s="15" t="str">
        <f aca="false">IF(AND(ISNUMBER(E240),E240&gt;=Settings!$B$6,G240&lt;&gt;"Yes"),"Receipt not marked as saved. ","")</f>
        <v/>
      </c>
      <c r="P240" s="15" t="str">
        <f aca="false">IF(AND(ISNUMBER(E240),E240&gt;=Settings!$B$5),"Large amount: review. ","")</f>
        <v/>
      </c>
    </row>
    <row r="241" customFormat="false" ht="15" hidden="false" customHeight="false" outlineLevel="0" collapsed="false">
      <c r="A241" s="10"/>
      <c r="B241" s="11"/>
      <c r="C241" s="11"/>
      <c r="D241" s="11"/>
      <c r="E241" s="12"/>
      <c r="F241" s="11"/>
      <c r="G241" s="11"/>
      <c r="H241" s="11"/>
      <c r="I241" s="13" t="str">
        <f aca="false">IF(NOT(COUNTA($A241:$H241)&gt;0),"",IF(K241&amp;L241&amp;M241&lt;&gt;"","ERROR",IF(N241&amp;O241&amp;P241&lt;&gt;"","CHECK","OK")))</f>
        <v/>
      </c>
      <c r="J241" s="14" t="str">
        <f aca="false">TRIM(K241&amp;L241&amp;M241&amp;N241&amp;O241&amp;P241)</f>
        <v/>
      </c>
      <c r="K241" s="15" t="str">
        <f aca="true">IF(NOT(COUNTA($A241:$H241)&gt;0),"",IF(A241="","Missing date. ",IF(NOT(ISNUMBER(A241)),"Date is not a real date. ",IF(YEAR(A241)&lt;&gt;Settings!$B$4,"Date outside tax year. ",IF(A241&gt;TODAY(),"Date is in the future. ","")))))</f>
        <v/>
      </c>
      <c r="L241" s="15" t="str">
        <f aca="false">IF(NOT(COUNTA($A241:$H241)&gt;0),"",IF(E241="","Missing amount. ",IF(NOT(ISNUMBER(E241)),"Amount is not a number. ",IF(E241&lt;=0,"Amount must be above zero. ",""))))</f>
        <v/>
      </c>
      <c r="M241" s="15" t="str">
        <f aca="false">IF(NOT(COUNTA($A241:$H241)&gt;0),"",IF(D241="","Missing category. ",IF(COUNTIF(Settings!$B$11:$B$40,D241)=0,"Category not in your list. ","")))</f>
        <v/>
      </c>
      <c r="N241" s="15" t="str">
        <f aca="false">IF(AND(ISNUMBER(A241),ISNUMBER(E241),B241&lt;&gt;""),IF(COUNTIFS($A$6:$A$505,A241,$B$6:$B$505,B241,$E$6:$E$505,E241)&gt;1,"Possible duplicate. ",""),"")</f>
        <v/>
      </c>
      <c r="O241" s="15" t="str">
        <f aca="false">IF(AND(ISNUMBER(E241),E241&gt;=Settings!$B$6,G241&lt;&gt;"Yes"),"Receipt not marked as saved. ","")</f>
        <v/>
      </c>
      <c r="P241" s="15" t="str">
        <f aca="false">IF(AND(ISNUMBER(E241),E241&gt;=Settings!$B$5),"Large amount: review. ","")</f>
        <v/>
      </c>
    </row>
    <row r="242" customFormat="false" ht="15" hidden="false" customHeight="false" outlineLevel="0" collapsed="false">
      <c r="A242" s="10"/>
      <c r="B242" s="11"/>
      <c r="C242" s="11"/>
      <c r="D242" s="11"/>
      <c r="E242" s="12"/>
      <c r="F242" s="11"/>
      <c r="G242" s="11"/>
      <c r="H242" s="11"/>
      <c r="I242" s="13" t="str">
        <f aca="false">IF(NOT(COUNTA($A242:$H242)&gt;0),"",IF(K242&amp;L242&amp;M242&lt;&gt;"","ERROR",IF(N242&amp;O242&amp;P242&lt;&gt;"","CHECK","OK")))</f>
        <v/>
      </c>
      <c r="J242" s="14" t="str">
        <f aca="false">TRIM(K242&amp;L242&amp;M242&amp;N242&amp;O242&amp;P242)</f>
        <v/>
      </c>
      <c r="K242" s="15" t="str">
        <f aca="true">IF(NOT(COUNTA($A242:$H242)&gt;0),"",IF(A242="","Missing date. ",IF(NOT(ISNUMBER(A242)),"Date is not a real date. ",IF(YEAR(A242)&lt;&gt;Settings!$B$4,"Date outside tax year. ",IF(A242&gt;TODAY(),"Date is in the future. ","")))))</f>
        <v/>
      </c>
      <c r="L242" s="15" t="str">
        <f aca="false">IF(NOT(COUNTA($A242:$H242)&gt;0),"",IF(E242="","Missing amount. ",IF(NOT(ISNUMBER(E242)),"Amount is not a number. ",IF(E242&lt;=0,"Amount must be above zero. ",""))))</f>
        <v/>
      </c>
      <c r="M242" s="15" t="str">
        <f aca="false">IF(NOT(COUNTA($A242:$H242)&gt;0),"",IF(D242="","Missing category. ",IF(COUNTIF(Settings!$B$11:$B$40,D242)=0,"Category not in your list. ","")))</f>
        <v/>
      </c>
      <c r="N242" s="15" t="str">
        <f aca="false">IF(AND(ISNUMBER(A242),ISNUMBER(E242),B242&lt;&gt;""),IF(COUNTIFS($A$6:$A$505,A242,$B$6:$B$505,B242,$E$6:$E$505,E242)&gt;1,"Possible duplicate. ",""),"")</f>
        <v/>
      </c>
      <c r="O242" s="15" t="str">
        <f aca="false">IF(AND(ISNUMBER(E242),E242&gt;=Settings!$B$6,G242&lt;&gt;"Yes"),"Receipt not marked as saved. ","")</f>
        <v/>
      </c>
      <c r="P242" s="15" t="str">
        <f aca="false">IF(AND(ISNUMBER(E242),E242&gt;=Settings!$B$5),"Large amount: review. ","")</f>
        <v/>
      </c>
    </row>
    <row r="243" customFormat="false" ht="15" hidden="false" customHeight="false" outlineLevel="0" collapsed="false">
      <c r="A243" s="10"/>
      <c r="B243" s="11"/>
      <c r="C243" s="11"/>
      <c r="D243" s="11"/>
      <c r="E243" s="12"/>
      <c r="F243" s="11"/>
      <c r="G243" s="11"/>
      <c r="H243" s="11"/>
      <c r="I243" s="13" t="str">
        <f aca="false">IF(NOT(COUNTA($A243:$H243)&gt;0),"",IF(K243&amp;L243&amp;M243&lt;&gt;"","ERROR",IF(N243&amp;O243&amp;P243&lt;&gt;"","CHECK","OK")))</f>
        <v/>
      </c>
      <c r="J243" s="14" t="str">
        <f aca="false">TRIM(K243&amp;L243&amp;M243&amp;N243&amp;O243&amp;P243)</f>
        <v/>
      </c>
      <c r="K243" s="15" t="str">
        <f aca="true">IF(NOT(COUNTA($A243:$H243)&gt;0),"",IF(A243="","Missing date. ",IF(NOT(ISNUMBER(A243)),"Date is not a real date. ",IF(YEAR(A243)&lt;&gt;Settings!$B$4,"Date outside tax year. ",IF(A243&gt;TODAY(),"Date is in the future. ","")))))</f>
        <v/>
      </c>
      <c r="L243" s="15" t="str">
        <f aca="false">IF(NOT(COUNTA($A243:$H243)&gt;0),"",IF(E243="","Missing amount. ",IF(NOT(ISNUMBER(E243)),"Amount is not a number. ",IF(E243&lt;=0,"Amount must be above zero. ",""))))</f>
        <v/>
      </c>
      <c r="M243" s="15" t="str">
        <f aca="false">IF(NOT(COUNTA($A243:$H243)&gt;0),"",IF(D243="","Missing category. ",IF(COUNTIF(Settings!$B$11:$B$40,D243)=0,"Category not in your list. ","")))</f>
        <v/>
      </c>
      <c r="N243" s="15" t="str">
        <f aca="false">IF(AND(ISNUMBER(A243),ISNUMBER(E243),B243&lt;&gt;""),IF(COUNTIFS($A$6:$A$505,A243,$B$6:$B$505,B243,$E$6:$E$505,E243)&gt;1,"Possible duplicate. ",""),"")</f>
        <v/>
      </c>
      <c r="O243" s="15" t="str">
        <f aca="false">IF(AND(ISNUMBER(E243),E243&gt;=Settings!$B$6,G243&lt;&gt;"Yes"),"Receipt not marked as saved. ","")</f>
        <v/>
      </c>
      <c r="P243" s="15" t="str">
        <f aca="false">IF(AND(ISNUMBER(E243),E243&gt;=Settings!$B$5),"Large amount: review. ","")</f>
        <v/>
      </c>
    </row>
    <row r="244" customFormat="false" ht="15" hidden="false" customHeight="false" outlineLevel="0" collapsed="false">
      <c r="A244" s="10"/>
      <c r="B244" s="11"/>
      <c r="C244" s="11"/>
      <c r="D244" s="11"/>
      <c r="E244" s="12"/>
      <c r="F244" s="11"/>
      <c r="G244" s="11"/>
      <c r="H244" s="11"/>
      <c r="I244" s="13" t="str">
        <f aca="false">IF(NOT(COUNTA($A244:$H244)&gt;0),"",IF(K244&amp;L244&amp;M244&lt;&gt;"","ERROR",IF(N244&amp;O244&amp;P244&lt;&gt;"","CHECK","OK")))</f>
        <v/>
      </c>
      <c r="J244" s="14" t="str">
        <f aca="false">TRIM(K244&amp;L244&amp;M244&amp;N244&amp;O244&amp;P244)</f>
        <v/>
      </c>
      <c r="K244" s="15" t="str">
        <f aca="true">IF(NOT(COUNTA($A244:$H244)&gt;0),"",IF(A244="","Missing date. ",IF(NOT(ISNUMBER(A244)),"Date is not a real date. ",IF(YEAR(A244)&lt;&gt;Settings!$B$4,"Date outside tax year. ",IF(A244&gt;TODAY(),"Date is in the future. ","")))))</f>
        <v/>
      </c>
      <c r="L244" s="15" t="str">
        <f aca="false">IF(NOT(COUNTA($A244:$H244)&gt;0),"",IF(E244="","Missing amount. ",IF(NOT(ISNUMBER(E244)),"Amount is not a number. ",IF(E244&lt;=0,"Amount must be above zero. ",""))))</f>
        <v/>
      </c>
      <c r="M244" s="15" t="str">
        <f aca="false">IF(NOT(COUNTA($A244:$H244)&gt;0),"",IF(D244="","Missing category. ",IF(COUNTIF(Settings!$B$11:$B$40,D244)=0,"Category not in your list. ","")))</f>
        <v/>
      </c>
      <c r="N244" s="15" t="str">
        <f aca="false">IF(AND(ISNUMBER(A244),ISNUMBER(E244),B244&lt;&gt;""),IF(COUNTIFS($A$6:$A$505,A244,$B$6:$B$505,B244,$E$6:$E$505,E244)&gt;1,"Possible duplicate. ",""),"")</f>
        <v/>
      </c>
      <c r="O244" s="15" t="str">
        <f aca="false">IF(AND(ISNUMBER(E244),E244&gt;=Settings!$B$6,G244&lt;&gt;"Yes"),"Receipt not marked as saved. ","")</f>
        <v/>
      </c>
      <c r="P244" s="15" t="str">
        <f aca="false">IF(AND(ISNUMBER(E244),E244&gt;=Settings!$B$5),"Large amount: review. ","")</f>
        <v/>
      </c>
    </row>
    <row r="245" customFormat="false" ht="15" hidden="false" customHeight="false" outlineLevel="0" collapsed="false">
      <c r="A245" s="10"/>
      <c r="B245" s="11"/>
      <c r="C245" s="11"/>
      <c r="D245" s="11"/>
      <c r="E245" s="12"/>
      <c r="F245" s="11"/>
      <c r="G245" s="11"/>
      <c r="H245" s="11"/>
      <c r="I245" s="13" t="str">
        <f aca="false">IF(NOT(COUNTA($A245:$H245)&gt;0),"",IF(K245&amp;L245&amp;M245&lt;&gt;"","ERROR",IF(N245&amp;O245&amp;P245&lt;&gt;"","CHECK","OK")))</f>
        <v/>
      </c>
      <c r="J245" s="14" t="str">
        <f aca="false">TRIM(K245&amp;L245&amp;M245&amp;N245&amp;O245&amp;P245)</f>
        <v/>
      </c>
      <c r="K245" s="15" t="str">
        <f aca="true">IF(NOT(COUNTA($A245:$H245)&gt;0),"",IF(A245="","Missing date. ",IF(NOT(ISNUMBER(A245)),"Date is not a real date. ",IF(YEAR(A245)&lt;&gt;Settings!$B$4,"Date outside tax year. ",IF(A245&gt;TODAY(),"Date is in the future. ","")))))</f>
        <v/>
      </c>
      <c r="L245" s="15" t="str">
        <f aca="false">IF(NOT(COUNTA($A245:$H245)&gt;0),"",IF(E245="","Missing amount. ",IF(NOT(ISNUMBER(E245)),"Amount is not a number. ",IF(E245&lt;=0,"Amount must be above zero. ",""))))</f>
        <v/>
      </c>
      <c r="M245" s="15" t="str">
        <f aca="false">IF(NOT(COUNTA($A245:$H245)&gt;0),"",IF(D245="","Missing category. ",IF(COUNTIF(Settings!$B$11:$B$40,D245)=0,"Category not in your list. ","")))</f>
        <v/>
      </c>
      <c r="N245" s="15" t="str">
        <f aca="false">IF(AND(ISNUMBER(A245),ISNUMBER(E245),B245&lt;&gt;""),IF(COUNTIFS($A$6:$A$505,A245,$B$6:$B$505,B245,$E$6:$E$505,E245)&gt;1,"Possible duplicate. ",""),"")</f>
        <v/>
      </c>
      <c r="O245" s="15" t="str">
        <f aca="false">IF(AND(ISNUMBER(E245),E245&gt;=Settings!$B$6,G245&lt;&gt;"Yes"),"Receipt not marked as saved. ","")</f>
        <v/>
      </c>
      <c r="P245" s="15" t="str">
        <f aca="false">IF(AND(ISNUMBER(E245),E245&gt;=Settings!$B$5),"Large amount: review. ","")</f>
        <v/>
      </c>
    </row>
    <row r="246" customFormat="false" ht="15" hidden="false" customHeight="false" outlineLevel="0" collapsed="false">
      <c r="A246" s="10"/>
      <c r="B246" s="11"/>
      <c r="C246" s="11"/>
      <c r="D246" s="11"/>
      <c r="E246" s="12"/>
      <c r="F246" s="11"/>
      <c r="G246" s="11"/>
      <c r="H246" s="11"/>
      <c r="I246" s="13" t="str">
        <f aca="false">IF(NOT(COUNTA($A246:$H246)&gt;0),"",IF(K246&amp;L246&amp;M246&lt;&gt;"","ERROR",IF(N246&amp;O246&amp;P246&lt;&gt;"","CHECK","OK")))</f>
        <v/>
      </c>
      <c r="J246" s="14" t="str">
        <f aca="false">TRIM(K246&amp;L246&amp;M246&amp;N246&amp;O246&amp;P246)</f>
        <v/>
      </c>
      <c r="K246" s="15" t="str">
        <f aca="true">IF(NOT(COUNTA($A246:$H246)&gt;0),"",IF(A246="","Missing date. ",IF(NOT(ISNUMBER(A246)),"Date is not a real date. ",IF(YEAR(A246)&lt;&gt;Settings!$B$4,"Date outside tax year. ",IF(A246&gt;TODAY(),"Date is in the future. ","")))))</f>
        <v/>
      </c>
      <c r="L246" s="15" t="str">
        <f aca="false">IF(NOT(COUNTA($A246:$H246)&gt;0),"",IF(E246="","Missing amount. ",IF(NOT(ISNUMBER(E246)),"Amount is not a number. ",IF(E246&lt;=0,"Amount must be above zero. ",""))))</f>
        <v/>
      </c>
      <c r="M246" s="15" t="str">
        <f aca="false">IF(NOT(COUNTA($A246:$H246)&gt;0),"",IF(D246="","Missing category. ",IF(COUNTIF(Settings!$B$11:$B$40,D246)=0,"Category not in your list. ","")))</f>
        <v/>
      </c>
      <c r="N246" s="15" t="str">
        <f aca="false">IF(AND(ISNUMBER(A246),ISNUMBER(E246),B246&lt;&gt;""),IF(COUNTIFS($A$6:$A$505,A246,$B$6:$B$505,B246,$E$6:$E$505,E246)&gt;1,"Possible duplicate. ",""),"")</f>
        <v/>
      </c>
      <c r="O246" s="15" t="str">
        <f aca="false">IF(AND(ISNUMBER(E246),E246&gt;=Settings!$B$6,G246&lt;&gt;"Yes"),"Receipt not marked as saved. ","")</f>
        <v/>
      </c>
      <c r="P246" s="15" t="str">
        <f aca="false">IF(AND(ISNUMBER(E246),E246&gt;=Settings!$B$5),"Large amount: review. ","")</f>
        <v/>
      </c>
    </row>
    <row r="247" customFormat="false" ht="15" hidden="false" customHeight="false" outlineLevel="0" collapsed="false">
      <c r="A247" s="10"/>
      <c r="B247" s="11"/>
      <c r="C247" s="11"/>
      <c r="D247" s="11"/>
      <c r="E247" s="12"/>
      <c r="F247" s="11"/>
      <c r="G247" s="11"/>
      <c r="H247" s="11"/>
      <c r="I247" s="13" t="str">
        <f aca="false">IF(NOT(COUNTA($A247:$H247)&gt;0),"",IF(K247&amp;L247&amp;M247&lt;&gt;"","ERROR",IF(N247&amp;O247&amp;P247&lt;&gt;"","CHECK","OK")))</f>
        <v/>
      </c>
      <c r="J247" s="14" t="str">
        <f aca="false">TRIM(K247&amp;L247&amp;M247&amp;N247&amp;O247&amp;P247)</f>
        <v/>
      </c>
      <c r="K247" s="15" t="str">
        <f aca="true">IF(NOT(COUNTA($A247:$H247)&gt;0),"",IF(A247="","Missing date. ",IF(NOT(ISNUMBER(A247)),"Date is not a real date. ",IF(YEAR(A247)&lt;&gt;Settings!$B$4,"Date outside tax year. ",IF(A247&gt;TODAY(),"Date is in the future. ","")))))</f>
        <v/>
      </c>
      <c r="L247" s="15" t="str">
        <f aca="false">IF(NOT(COUNTA($A247:$H247)&gt;0),"",IF(E247="","Missing amount. ",IF(NOT(ISNUMBER(E247)),"Amount is not a number. ",IF(E247&lt;=0,"Amount must be above zero. ",""))))</f>
        <v/>
      </c>
      <c r="M247" s="15" t="str">
        <f aca="false">IF(NOT(COUNTA($A247:$H247)&gt;0),"",IF(D247="","Missing category. ",IF(COUNTIF(Settings!$B$11:$B$40,D247)=0,"Category not in your list. ","")))</f>
        <v/>
      </c>
      <c r="N247" s="15" t="str">
        <f aca="false">IF(AND(ISNUMBER(A247),ISNUMBER(E247),B247&lt;&gt;""),IF(COUNTIFS($A$6:$A$505,A247,$B$6:$B$505,B247,$E$6:$E$505,E247)&gt;1,"Possible duplicate. ",""),"")</f>
        <v/>
      </c>
      <c r="O247" s="15" t="str">
        <f aca="false">IF(AND(ISNUMBER(E247),E247&gt;=Settings!$B$6,G247&lt;&gt;"Yes"),"Receipt not marked as saved. ","")</f>
        <v/>
      </c>
      <c r="P247" s="15" t="str">
        <f aca="false">IF(AND(ISNUMBER(E247),E247&gt;=Settings!$B$5),"Large amount: review. ","")</f>
        <v/>
      </c>
    </row>
    <row r="248" customFormat="false" ht="15" hidden="false" customHeight="false" outlineLevel="0" collapsed="false">
      <c r="A248" s="10"/>
      <c r="B248" s="11"/>
      <c r="C248" s="11"/>
      <c r="D248" s="11"/>
      <c r="E248" s="12"/>
      <c r="F248" s="11"/>
      <c r="G248" s="11"/>
      <c r="H248" s="11"/>
      <c r="I248" s="13" t="str">
        <f aca="false">IF(NOT(COUNTA($A248:$H248)&gt;0),"",IF(K248&amp;L248&amp;M248&lt;&gt;"","ERROR",IF(N248&amp;O248&amp;P248&lt;&gt;"","CHECK","OK")))</f>
        <v/>
      </c>
      <c r="J248" s="14" t="str">
        <f aca="false">TRIM(K248&amp;L248&amp;M248&amp;N248&amp;O248&amp;P248)</f>
        <v/>
      </c>
      <c r="K248" s="15" t="str">
        <f aca="true">IF(NOT(COUNTA($A248:$H248)&gt;0),"",IF(A248="","Missing date. ",IF(NOT(ISNUMBER(A248)),"Date is not a real date. ",IF(YEAR(A248)&lt;&gt;Settings!$B$4,"Date outside tax year. ",IF(A248&gt;TODAY(),"Date is in the future. ","")))))</f>
        <v/>
      </c>
      <c r="L248" s="15" t="str">
        <f aca="false">IF(NOT(COUNTA($A248:$H248)&gt;0),"",IF(E248="","Missing amount. ",IF(NOT(ISNUMBER(E248)),"Amount is not a number. ",IF(E248&lt;=0,"Amount must be above zero. ",""))))</f>
        <v/>
      </c>
      <c r="M248" s="15" t="str">
        <f aca="false">IF(NOT(COUNTA($A248:$H248)&gt;0),"",IF(D248="","Missing category. ",IF(COUNTIF(Settings!$B$11:$B$40,D248)=0,"Category not in your list. ","")))</f>
        <v/>
      </c>
      <c r="N248" s="15" t="str">
        <f aca="false">IF(AND(ISNUMBER(A248),ISNUMBER(E248),B248&lt;&gt;""),IF(COUNTIFS($A$6:$A$505,A248,$B$6:$B$505,B248,$E$6:$E$505,E248)&gt;1,"Possible duplicate. ",""),"")</f>
        <v/>
      </c>
      <c r="O248" s="15" t="str">
        <f aca="false">IF(AND(ISNUMBER(E248),E248&gt;=Settings!$B$6,G248&lt;&gt;"Yes"),"Receipt not marked as saved. ","")</f>
        <v/>
      </c>
      <c r="P248" s="15" t="str">
        <f aca="false">IF(AND(ISNUMBER(E248),E248&gt;=Settings!$B$5),"Large amount: review. ","")</f>
        <v/>
      </c>
    </row>
    <row r="249" customFormat="false" ht="15" hidden="false" customHeight="false" outlineLevel="0" collapsed="false">
      <c r="A249" s="10"/>
      <c r="B249" s="11"/>
      <c r="C249" s="11"/>
      <c r="D249" s="11"/>
      <c r="E249" s="12"/>
      <c r="F249" s="11"/>
      <c r="G249" s="11"/>
      <c r="H249" s="11"/>
      <c r="I249" s="13" t="str">
        <f aca="false">IF(NOT(COUNTA($A249:$H249)&gt;0),"",IF(K249&amp;L249&amp;M249&lt;&gt;"","ERROR",IF(N249&amp;O249&amp;P249&lt;&gt;"","CHECK","OK")))</f>
        <v/>
      </c>
      <c r="J249" s="14" t="str">
        <f aca="false">TRIM(K249&amp;L249&amp;M249&amp;N249&amp;O249&amp;P249)</f>
        <v/>
      </c>
      <c r="K249" s="15" t="str">
        <f aca="true">IF(NOT(COUNTA($A249:$H249)&gt;0),"",IF(A249="","Missing date. ",IF(NOT(ISNUMBER(A249)),"Date is not a real date. ",IF(YEAR(A249)&lt;&gt;Settings!$B$4,"Date outside tax year. ",IF(A249&gt;TODAY(),"Date is in the future. ","")))))</f>
        <v/>
      </c>
      <c r="L249" s="15" t="str">
        <f aca="false">IF(NOT(COUNTA($A249:$H249)&gt;0),"",IF(E249="","Missing amount. ",IF(NOT(ISNUMBER(E249)),"Amount is not a number. ",IF(E249&lt;=0,"Amount must be above zero. ",""))))</f>
        <v/>
      </c>
      <c r="M249" s="15" t="str">
        <f aca="false">IF(NOT(COUNTA($A249:$H249)&gt;0),"",IF(D249="","Missing category. ",IF(COUNTIF(Settings!$B$11:$B$40,D249)=0,"Category not in your list. ","")))</f>
        <v/>
      </c>
      <c r="N249" s="15" t="str">
        <f aca="false">IF(AND(ISNUMBER(A249),ISNUMBER(E249),B249&lt;&gt;""),IF(COUNTIFS($A$6:$A$505,A249,$B$6:$B$505,B249,$E$6:$E$505,E249)&gt;1,"Possible duplicate. ",""),"")</f>
        <v/>
      </c>
      <c r="O249" s="15" t="str">
        <f aca="false">IF(AND(ISNUMBER(E249),E249&gt;=Settings!$B$6,G249&lt;&gt;"Yes"),"Receipt not marked as saved. ","")</f>
        <v/>
      </c>
      <c r="P249" s="15" t="str">
        <f aca="false">IF(AND(ISNUMBER(E249),E249&gt;=Settings!$B$5),"Large amount: review. ","")</f>
        <v/>
      </c>
    </row>
    <row r="250" customFormat="false" ht="15" hidden="false" customHeight="false" outlineLevel="0" collapsed="false">
      <c r="A250" s="10"/>
      <c r="B250" s="11"/>
      <c r="C250" s="11"/>
      <c r="D250" s="11"/>
      <c r="E250" s="12"/>
      <c r="F250" s="11"/>
      <c r="G250" s="11"/>
      <c r="H250" s="11"/>
      <c r="I250" s="13" t="str">
        <f aca="false">IF(NOT(COUNTA($A250:$H250)&gt;0),"",IF(K250&amp;L250&amp;M250&lt;&gt;"","ERROR",IF(N250&amp;O250&amp;P250&lt;&gt;"","CHECK","OK")))</f>
        <v/>
      </c>
      <c r="J250" s="14" t="str">
        <f aca="false">TRIM(K250&amp;L250&amp;M250&amp;N250&amp;O250&amp;P250)</f>
        <v/>
      </c>
      <c r="K250" s="15" t="str">
        <f aca="true">IF(NOT(COUNTA($A250:$H250)&gt;0),"",IF(A250="","Missing date. ",IF(NOT(ISNUMBER(A250)),"Date is not a real date. ",IF(YEAR(A250)&lt;&gt;Settings!$B$4,"Date outside tax year. ",IF(A250&gt;TODAY(),"Date is in the future. ","")))))</f>
        <v/>
      </c>
      <c r="L250" s="15" t="str">
        <f aca="false">IF(NOT(COUNTA($A250:$H250)&gt;0),"",IF(E250="","Missing amount. ",IF(NOT(ISNUMBER(E250)),"Amount is not a number. ",IF(E250&lt;=0,"Amount must be above zero. ",""))))</f>
        <v/>
      </c>
      <c r="M250" s="15" t="str">
        <f aca="false">IF(NOT(COUNTA($A250:$H250)&gt;0),"",IF(D250="","Missing category. ",IF(COUNTIF(Settings!$B$11:$B$40,D250)=0,"Category not in your list. ","")))</f>
        <v/>
      </c>
      <c r="N250" s="15" t="str">
        <f aca="false">IF(AND(ISNUMBER(A250),ISNUMBER(E250),B250&lt;&gt;""),IF(COUNTIFS($A$6:$A$505,A250,$B$6:$B$505,B250,$E$6:$E$505,E250)&gt;1,"Possible duplicate. ",""),"")</f>
        <v/>
      </c>
      <c r="O250" s="15" t="str">
        <f aca="false">IF(AND(ISNUMBER(E250),E250&gt;=Settings!$B$6,G250&lt;&gt;"Yes"),"Receipt not marked as saved. ","")</f>
        <v/>
      </c>
      <c r="P250" s="15" t="str">
        <f aca="false">IF(AND(ISNUMBER(E250),E250&gt;=Settings!$B$5),"Large amount: review. ","")</f>
        <v/>
      </c>
    </row>
    <row r="251" customFormat="false" ht="15" hidden="false" customHeight="false" outlineLevel="0" collapsed="false">
      <c r="A251" s="10"/>
      <c r="B251" s="11"/>
      <c r="C251" s="11"/>
      <c r="D251" s="11"/>
      <c r="E251" s="12"/>
      <c r="F251" s="11"/>
      <c r="G251" s="11"/>
      <c r="H251" s="11"/>
      <c r="I251" s="13" t="str">
        <f aca="false">IF(NOT(COUNTA($A251:$H251)&gt;0),"",IF(K251&amp;L251&amp;M251&lt;&gt;"","ERROR",IF(N251&amp;O251&amp;P251&lt;&gt;"","CHECK","OK")))</f>
        <v/>
      </c>
      <c r="J251" s="14" t="str">
        <f aca="false">TRIM(K251&amp;L251&amp;M251&amp;N251&amp;O251&amp;P251)</f>
        <v/>
      </c>
      <c r="K251" s="15" t="str">
        <f aca="true">IF(NOT(COUNTA($A251:$H251)&gt;0),"",IF(A251="","Missing date. ",IF(NOT(ISNUMBER(A251)),"Date is not a real date. ",IF(YEAR(A251)&lt;&gt;Settings!$B$4,"Date outside tax year. ",IF(A251&gt;TODAY(),"Date is in the future. ","")))))</f>
        <v/>
      </c>
      <c r="L251" s="15" t="str">
        <f aca="false">IF(NOT(COUNTA($A251:$H251)&gt;0),"",IF(E251="","Missing amount. ",IF(NOT(ISNUMBER(E251)),"Amount is not a number. ",IF(E251&lt;=0,"Amount must be above zero. ",""))))</f>
        <v/>
      </c>
      <c r="M251" s="15" t="str">
        <f aca="false">IF(NOT(COUNTA($A251:$H251)&gt;0),"",IF(D251="","Missing category. ",IF(COUNTIF(Settings!$B$11:$B$40,D251)=0,"Category not in your list. ","")))</f>
        <v/>
      </c>
      <c r="N251" s="15" t="str">
        <f aca="false">IF(AND(ISNUMBER(A251),ISNUMBER(E251),B251&lt;&gt;""),IF(COUNTIFS($A$6:$A$505,A251,$B$6:$B$505,B251,$E$6:$E$505,E251)&gt;1,"Possible duplicate. ",""),"")</f>
        <v/>
      </c>
      <c r="O251" s="15" t="str">
        <f aca="false">IF(AND(ISNUMBER(E251),E251&gt;=Settings!$B$6,G251&lt;&gt;"Yes"),"Receipt not marked as saved. ","")</f>
        <v/>
      </c>
      <c r="P251" s="15" t="str">
        <f aca="false">IF(AND(ISNUMBER(E251),E251&gt;=Settings!$B$5),"Large amount: review. ","")</f>
        <v/>
      </c>
    </row>
    <row r="252" customFormat="false" ht="15" hidden="false" customHeight="false" outlineLevel="0" collapsed="false">
      <c r="A252" s="10"/>
      <c r="B252" s="11"/>
      <c r="C252" s="11"/>
      <c r="D252" s="11"/>
      <c r="E252" s="12"/>
      <c r="F252" s="11"/>
      <c r="G252" s="11"/>
      <c r="H252" s="11"/>
      <c r="I252" s="13" t="str">
        <f aca="false">IF(NOT(COUNTA($A252:$H252)&gt;0),"",IF(K252&amp;L252&amp;M252&lt;&gt;"","ERROR",IF(N252&amp;O252&amp;P252&lt;&gt;"","CHECK","OK")))</f>
        <v/>
      </c>
      <c r="J252" s="14" t="str">
        <f aca="false">TRIM(K252&amp;L252&amp;M252&amp;N252&amp;O252&amp;P252)</f>
        <v/>
      </c>
      <c r="K252" s="15" t="str">
        <f aca="true">IF(NOT(COUNTA($A252:$H252)&gt;0),"",IF(A252="","Missing date. ",IF(NOT(ISNUMBER(A252)),"Date is not a real date. ",IF(YEAR(A252)&lt;&gt;Settings!$B$4,"Date outside tax year. ",IF(A252&gt;TODAY(),"Date is in the future. ","")))))</f>
        <v/>
      </c>
      <c r="L252" s="15" t="str">
        <f aca="false">IF(NOT(COUNTA($A252:$H252)&gt;0),"",IF(E252="","Missing amount. ",IF(NOT(ISNUMBER(E252)),"Amount is not a number. ",IF(E252&lt;=0,"Amount must be above zero. ",""))))</f>
        <v/>
      </c>
      <c r="M252" s="15" t="str">
        <f aca="false">IF(NOT(COUNTA($A252:$H252)&gt;0),"",IF(D252="","Missing category. ",IF(COUNTIF(Settings!$B$11:$B$40,D252)=0,"Category not in your list. ","")))</f>
        <v/>
      </c>
      <c r="N252" s="15" t="str">
        <f aca="false">IF(AND(ISNUMBER(A252),ISNUMBER(E252),B252&lt;&gt;""),IF(COUNTIFS($A$6:$A$505,A252,$B$6:$B$505,B252,$E$6:$E$505,E252)&gt;1,"Possible duplicate. ",""),"")</f>
        <v/>
      </c>
      <c r="O252" s="15" t="str">
        <f aca="false">IF(AND(ISNUMBER(E252),E252&gt;=Settings!$B$6,G252&lt;&gt;"Yes"),"Receipt not marked as saved. ","")</f>
        <v/>
      </c>
      <c r="P252" s="15" t="str">
        <f aca="false">IF(AND(ISNUMBER(E252),E252&gt;=Settings!$B$5),"Large amount: review. ","")</f>
        <v/>
      </c>
    </row>
    <row r="253" customFormat="false" ht="15" hidden="false" customHeight="false" outlineLevel="0" collapsed="false">
      <c r="A253" s="10"/>
      <c r="B253" s="11"/>
      <c r="C253" s="11"/>
      <c r="D253" s="11"/>
      <c r="E253" s="12"/>
      <c r="F253" s="11"/>
      <c r="G253" s="11"/>
      <c r="H253" s="11"/>
      <c r="I253" s="13" t="str">
        <f aca="false">IF(NOT(COUNTA($A253:$H253)&gt;0),"",IF(K253&amp;L253&amp;M253&lt;&gt;"","ERROR",IF(N253&amp;O253&amp;P253&lt;&gt;"","CHECK","OK")))</f>
        <v/>
      </c>
      <c r="J253" s="14" t="str">
        <f aca="false">TRIM(K253&amp;L253&amp;M253&amp;N253&amp;O253&amp;P253)</f>
        <v/>
      </c>
      <c r="K253" s="15" t="str">
        <f aca="true">IF(NOT(COUNTA($A253:$H253)&gt;0),"",IF(A253="","Missing date. ",IF(NOT(ISNUMBER(A253)),"Date is not a real date. ",IF(YEAR(A253)&lt;&gt;Settings!$B$4,"Date outside tax year. ",IF(A253&gt;TODAY(),"Date is in the future. ","")))))</f>
        <v/>
      </c>
      <c r="L253" s="15" t="str">
        <f aca="false">IF(NOT(COUNTA($A253:$H253)&gt;0),"",IF(E253="","Missing amount. ",IF(NOT(ISNUMBER(E253)),"Amount is not a number. ",IF(E253&lt;=0,"Amount must be above zero. ",""))))</f>
        <v/>
      </c>
      <c r="M253" s="15" t="str">
        <f aca="false">IF(NOT(COUNTA($A253:$H253)&gt;0),"",IF(D253="","Missing category. ",IF(COUNTIF(Settings!$B$11:$B$40,D253)=0,"Category not in your list. ","")))</f>
        <v/>
      </c>
      <c r="N253" s="15" t="str">
        <f aca="false">IF(AND(ISNUMBER(A253),ISNUMBER(E253),B253&lt;&gt;""),IF(COUNTIFS($A$6:$A$505,A253,$B$6:$B$505,B253,$E$6:$E$505,E253)&gt;1,"Possible duplicate. ",""),"")</f>
        <v/>
      </c>
      <c r="O253" s="15" t="str">
        <f aca="false">IF(AND(ISNUMBER(E253),E253&gt;=Settings!$B$6,G253&lt;&gt;"Yes"),"Receipt not marked as saved. ","")</f>
        <v/>
      </c>
      <c r="P253" s="15" t="str">
        <f aca="false">IF(AND(ISNUMBER(E253),E253&gt;=Settings!$B$5),"Large amount: review. ","")</f>
        <v/>
      </c>
    </row>
    <row r="254" customFormat="false" ht="15" hidden="false" customHeight="false" outlineLevel="0" collapsed="false">
      <c r="A254" s="10"/>
      <c r="B254" s="11"/>
      <c r="C254" s="11"/>
      <c r="D254" s="11"/>
      <c r="E254" s="12"/>
      <c r="F254" s="11"/>
      <c r="G254" s="11"/>
      <c r="H254" s="11"/>
      <c r="I254" s="13" t="str">
        <f aca="false">IF(NOT(COUNTA($A254:$H254)&gt;0),"",IF(K254&amp;L254&amp;M254&lt;&gt;"","ERROR",IF(N254&amp;O254&amp;P254&lt;&gt;"","CHECK","OK")))</f>
        <v/>
      </c>
      <c r="J254" s="14" t="str">
        <f aca="false">TRIM(K254&amp;L254&amp;M254&amp;N254&amp;O254&amp;P254)</f>
        <v/>
      </c>
      <c r="K254" s="15" t="str">
        <f aca="true">IF(NOT(COUNTA($A254:$H254)&gt;0),"",IF(A254="","Missing date. ",IF(NOT(ISNUMBER(A254)),"Date is not a real date. ",IF(YEAR(A254)&lt;&gt;Settings!$B$4,"Date outside tax year. ",IF(A254&gt;TODAY(),"Date is in the future. ","")))))</f>
        <v/>
      </c>
      <c r="L254" s="15" t="str">
        <f aca="false">IF(NOT(COUNTA($A254:$H254)&gt;0),"",IF(E254="","Missing amount. ",IF(NOT(ISNUMBER(E254)),"Amount is not a number. ",IF(E254&lt;=0,"Amount must be above zero. ",""))))</f>
        <v/>
      </c>
      <c r="M254" s="15" t="str">
        <f aca="false">IF(NOT(COUNTA($A254:$H254)&gt;0),"",IF(D254="","Missing category. ",IF(COUNTIF(Settings!$B$11:$B$40,D254)=0,"Category not in your list. ","")))</f>
        <v/>
      </c>
      <c r="N254" s="15" t="str">
        <f aca="false">IF(AND(ISNUMBER(A254),ISNUMBER(E254),B254&lt;&gt;""),IF(COUNTIFS($A$6:$A$505,A254,$B$6:$B$505,B254,$E$6:$E$505,E254)&gt;1,"Possible duplicate. ",""),"")</f>
        <v/>
      </c>
      <c r="O254" s="15" t="str">
        <f aca="false">IF(AND(ISNUMBER(E254),E254&gt;=Settings!$B$6,G254&lt;&gt;"Yes"),"Receipt not marked as saved. ","")</f>
        <v/>
      </c>
      <c r="P254" s="15" t="str">
        <f aca="false">IF(AND(ISNUMBER(E254),E254&gt;=Settings!$B$5),"Large amount: review. ","")</f>
        <v/>
      </c>
    </row>
    <row r="255" customFormat="false" ht="15" hidden="false" customHeight="false" outlineLevel="0" collapsed="false">
      <c r="A255" s="10"/>
      <c r="B255" s="11"/>
      <c r="C255" s="11"/>
      <c r="D255" s="11"/>
      <c r="E255" s="12"/>
      <c r="F255" s="11"/>
      <c r="G255" s="11"/>
      <c r="H255" s="11"/>
      <c r="I255" s="13" t="str">
        <f aca="false">IF(NOT(COUNTA($A255:$H255)&gt;0),"",IF(K255&amp;L255&amp;M255&lt;&gt;"","ERROR",IF(N255&amp;O255&amp;P255&lt;&gt;"","CHECK","OK")))</f>
        <v/>
      </c>
      <c r="J255" s="14" t="str">
        <f aca="false">TRIM(K255&amp;L255&amp;M255&amp;N255&amp;O255&amp;P255)</f>
        <v/>
      </c>
      <c r="K255" s="15" t="str">
        <f aca="true">IF(NOT(COUNTA($A255:$H255)&gt;0),"",IF(A255="","Missing date. ",IF(NOT(ISNUMBER(A255)),"Date is not a real date. ",IF(YEAR(A255)&lt;&gt;Settings!$B$4,"Date outside tax year. ",IF(A255&gt;TODAY(),"Date is in the future. ","")))))</f>
        <v/>
      </c>
      <c r="L255" s="15" t="str">
        <f aca="false">IF(NOT(COUNTA($A255:$H255)&gt;0),"",IF(E255="","Missing amount. ",IF(NOT(ISNUMBER(E255)),"Amount is not a number. ",IF(E255&lt;=0,"Amount must be above zero. ",""))))</f>
        <v/>
      </c>
      <c r="M255" s="15" t="str">
        <f aca="false">IF(NOT(COUNTA($A255:$H255)&gt;0),"",IF(D255="","Missing category. ",IF(COUNTIF(Settings!$B$11:$B$40,D255)=0,"Category not in your list. ","")))</f>
        <v/>
      </c>
      <c r="N255" s="15" t="str">
        <f aca="false">IF(AND(ISNUMBER(A255),ISNUMBER(E255),B255&lt;&gt;""),IF(COUNTIFS($A$6:$A$505,A255,$B$6:$B$505,B255,$E$6:$E$505,E255)&gt;1,"Possible duplicate. ",""),"")</f>
        <v/>
      </c>
      <c r="O255" s="15" t="str">
        <f aca="false">IF(AND(ISNUMBER(E255),E255&gt;=Settings!$B$6,G255&lt;&gt;"Yes"),"Receipt not marked as saved. ","")</f>
        <v/>
      </c>
      <c r="P255" s="15" t="str">
        <f aca="false">IF(AND(ISNUMBER(E255),E255&gt;=Settings!$B$5),"Large amount: review. ","")</f>
        <v/>
      </c>
    </row>
    <row r="256" customFormat="false" ht="15" hidden="false" customHeight="false" outlineLevel="0" collapsed="false">
      <c r="A256" s="10"/>
      <c r="B256" s="11"/>
      <c r="C256" s="11"/>
      <c r="D256" s="11"/>
      <c r="E256" s="12"/>
      <c r="F256" s="11"/>
      <c r="G256" s="11"/>
      <c r="H256" s="11"/>
      <c r="I256" s="13" t="str">
        <f aca="false">IF(NOT(COUNTA($A256:$H256)&gt;0),"",IF(K256&amp;L256&amp;M256&lt;&gt;"","ERROR",IF(N256&amp;O256&amp;P256&lt;&gt;"","CHECK","OK")))</f>
        <v/>
      </c>
      <c r="J256" s="14" t="str">
        <f aca="false">TRIM(K256&amp;L256&amp;M256&amp;N256&amp;O256&amp;P256)</f>
        <v/>
      </c>
      <c r="K256" s="15" t="str">
        <f aca="true">IF(NOT(COUNTA($A256:$H256)&gt;0),"",IF(A256="","Missing date. ",IF(NOT(ISNUMBER(A256)),"Date is not a real date. ",IF(YEAR(A256)&lt;&gt;Settings!$B$4,"Date outside tax year. ",IF(A256&gt;TODAY(),"Date is in the future. ","")))))</f>
        <v/>
      </c>
      <c r="L256" s="15" t="str">
        <f aca="false">IF(NOT(COUNTA($A256:$H256)&gt;0),"",IF(E256="","Missing amount. ",IF(NOT(ISNUMBER(E256)),"Amount is not a number. ",IF(E256&lt;=0,"Amount must be above zero. ",""))))</f>
        <v/>
      </c>
      <c r="M256" s="15" t="str">
        <f aca="false">IF(NOT(COUNTA($A256:$H256)&gt;0),"",IF(D256="","Missing category. ",IF(COUNTIF(Settings!$B$11:$B$40,D256)=0,"Category not in your list. ","")))</f>
        <v/>
      </c>
      <c r="N256" s="15" t="str">
        <f aca="false">IF(AND(ISNUMBER(A256),ISNUMBER(E256),B256&lt;&gt;""),IF(COUNTIFS($A$6:$A$505,A256,$B$6:$B$505,B256,$E$6:$E$505,E256)&gt;1,"Possible duplicate. ",""),"")</f>
        <v/>
      </c>
      <c r="O256" s="15" t="str">
        <f aca="false">IF(AND(ISNUMBER(E256),E256&gt;=Settings!$B$6,G256&lt;&gt;"Yes"),"Receipt not marked as saved. ","")</f>
        <v/>
      </c>
      <c r="P256" s="15" t="str">
        <f aca="false">IF(AND(ISNUMBER(E256),E256&gt;=Settings!$B$5),"Large amount: review. ","")</f>
        <v/>
      </c>
    </row>
    <row r="257" customFormat="false" ht="15" hidden="false" customHeight="false" outlineLevel="0" collapsed="false">
      <c r="A257" s="10"/>
      <c r="B257" s="11"/>
      <c r="C257" s="11"/>
      <c r="D257" s="11"/>
      <c r="E257" s="12"/>
      <c r="F257" s="11"/>
      <c r="G257" s="11"/>
      <c r="H257" s="11"/>
      <c r="I257" s="13" t="str">
        <f aca="false">IF(NOT(COUNTA($A257:$H257)&gt;0),"",IF(K257&amp;L257&amp;M257&lt;&gt;"","ERROR",IF(N257&amp;O257&amp;P257&lt;&gt;"","CHECK","OK")))</f>
        <v/>
      </c>
      <c r="J257" s="14" t="str">
        <f aca="false">TRIM(K257&amp;L257&amp;M257&amp;N257&amp;O257&amp;P257)</f>
        <v/>
      </c>
      <c r="K257" s="15" t="str">
        <f aca="true">IF(NOT(COUNTA($A257:$H257)&gt;0),"",IF(A257="","Missing date. ",IF(NOT(ISNUMBER(A257)),"Date is not a real date. ",IF(YEAR(A257)&lt;&gt;Settings!$B$4,"Date outside tax year. ",IF(A257&gt;TODAY(),"Date is in the future. ","")))))</f>
        <v/>
      </c>
      <c r="L257" s="15" t="str">
        <f aca="false">IF(NOT(COUNTA($A257:$H257)&gt;0),"",IF(E257="","Missing amount. ",IF(NOT(ISNUMBER(E257)),"Amount is not a number. ",IF(E257&lt;=0,"Amount must be above zero. ",""))))</f>
        <v/>
      </c>
      <c r="M257" s="15" t="str">
        <f aca="false">IF(NOT(COUNTA($A257:$H257)&gt;0),"",IF(D257="","Missing category. ",IF(COUNTIF(Settings!$B$11:$B$40,D257)=0,"Category not in your list. ","")))</f>
        <v/>
      </c>
      <c r="N257" s="15" t="str">
        <f aca="false">IF(AND(ISNUMBER(A257),ISNUMBER(E257),B257&lt;&gt;""),IF(COUNTIFS($A$6:$A$505,A257,$B$6:$B$505,B257,$E$6:$E$505,E257)&gt;1,"Possible duplicate. ",""),"")</f>
        <v/>
      </c>
      <c r="O257" s="15" t="str">
        <f aca="false">IF(AND(ISNUMBER(E257),E257&gt;=Settings!$B$6,G257&lt;&gt;"Yes"),"Receipt not marked as saved. ","")</f>
        <v/>
      </c>
      <c r="P257" s="15" t="str">
        <f aca="false">IF(AND(ISNUMBER(E257),E257&gt;=Settings!$B$5),"Large amount: review. ","")</f>
        <v/>
      </c>
    </row>
    <row r="258" customFormat="false" ht="15" hidden="false" customHeight="false" outlineLevel="0" collapsed="false">
      <c r="A258" s="10"/>
      <c r="B258" s="11"/>
      <c r="C258" s="11"/>
      <c r="D258" s="11"/>
      <c r="E258" s="12"/>
      <c r="F258" s="11"/>
      <c r="G258" s="11"/>
      <c r="H258" s="11"/>
      <c r="I258" s="13" t="str">
        <f aca="false">IF(NOT(COUNTA($A258:$H258)&gt;0),"",IF(K258&amp;L258&amp;M258&lt;&gt;"","ERROR",IF(N258&amp;O258&amp;P258&lt;&gt;"","CHECK","OK")))</f>
        <v/>
      </c>
      <c r="J258" s="14" t="str">
        <f aca="false">TRIM(K258&amp;L258&amp;M258&amp;N258&amp;O258&amp;P258)</f>
        <v/>
      </c>
      <c r="K258" s="15" t="str">
        <f aca="true">IF(NOT(COUNTA($A258:$H258)&gt;0),"",IF(A258="","Missing date. ",IF(NOT(ISNUMBER(A258)),"Date is not a real date. ",IF(YEAR(A258)&lt;&gt;Settings!$B$4,"Date outside tax year. ",IF(A258&gt;TODAY(),"Date is in the future. ","")))))</f>
        <v/>
      </c>
      <c r="L258" s="15" t="str">
        <f aca="false">IF(NOT(COUNTA($A258:$H258)&gt;0),"",IF(E258="","Missing amount. ",IF(NOT(ISNUMBER(E258)),"Amount is not a number. ",IF(E258&lt;=0,"Amount must be above zero. ",""))))</f>
        <v/>
      </c>
      <c r="M258" s="15" t="str">
        <f aca="false">IF(NOT(COUNTA($A258:$H258)&gt;0),"",IF(D258="","Missing category. ",IF(COUNTIF(Settings!$B$11:$B$40,D258)=0,"Category not in your list. ","")))</f>
        <v/>
      </c>
      <c r="N258" s="15" t="str">
        <f aca="false">IF(AND(ISNUMBER(A258),ISNUMBER(E258),B258&lt;&gt;""),IF(COUNTIFS($A$6:$A$505,A258,$B$6:$B$505,B258,$E$6:$E$505,E258)&gt;1,"Possible duplicate. ",""),"")</f>
        <v/>
      </c>
      <c r="O258" s="15" t="str">
        <f aca="false">IF(AND(ISNUMBER(E258),E258&gt;=Settings!$B$6,G258&lt;&gt;"Yes"),"Receipt not marked as saved. ","")</f>
        <v/>
      </c>
      <c r="P258" s="15" t="str">
        <f aca="false">IF(AND(ISNUMBER(E258),E258&gt;=Settings!$B$5),"Large amount: review. ","")</f>
        <v/>
      </c>
    </row>
    <row r="259" customFormat="false" ht="15" hidden="false" customHeight="false" outlineLevel="0" collapsed="false">
      <c r="A259" s="10"/>
      <c r="B259" s="11"/>
      <c r="C259" s="11"/>
      <c r="D259" s="11"/>
      <c r="E259" s="12"/>
      <c r="F259" s="11"/>
      <c r="G259" s="11"/>
      <c r="H259" s="11"/>
      <c r="I259" s="13" t="str">
        <f aca="false">IF(NOT(COUNTA($A259:$H259)&gt;0),"",IF(K259&amp;L259&amp;M259&lt;&gt;"","ERROR",IF(N259&amp;O259&amp;P259&lt;&gt;"","CHECK","OK")))</f>
        <v/>
      </c>
      <c r="J259" s="14" t="str">
        <f aca="false">TRIM(K259&amp;L259&amp;M259&amp;N259&amp;O259&amp;P259)</f>
        <v/>
      </c>
      <c r="K259" s="15" t="str">
        <f aca="true">IF(NOT(COUNTA($A259:$H259)&gt;0),"",IF(A259="","Missing date. ",IF(NOT(ISNUMBER(A259)),"Date is not a real date. ",IF(YEAR(A259)&lt;&gt;Settings!$B$4,"Date outside tax year. ",IF(A259&gt;TODAY(),"Date is in the future. ","")))))</f>
        <v/>
      </c>
      <c r="L259" s="15" t="str">
        <f aca="false">IF(NOT(COUNTA($A259:$H259)&gt;0),"",IF(E259="","Missing amount. ",IF(NOT(ISNUMBER(E259)),"Amount is not a number. ",IF(E259&lt;=0,"Amount must be above zero. ",""))))</f>
        <v/>
      </c>
      <c r="M259" s="15" t="str">
        <f aca="false">IF(NOT(COUNTA($A259:$H259)&gt;0),"",IF(D259="","Missing category. ",IF(COUNTIF(Settings!$B$11:$B$40,D259)=0,"Category not in your list. ","")))</f>
        <v/>
      </c>
      <c r="N259" s="15" t="str">
        <f aca="false">IF(AND(ISNUMBER(A259),ISNUMBER(E259),B259&lt;&gt;""),IF(COUNTIFS($A$6:$A$505,A259,$B$6:$B$505,B259,$E$6:$E$505,E259)&gt;1,"Possible duplicate. ",""),"")</f>
        <v/>
      </c>
      <c r="O259" s="15" t="str">
        <f aca="false">IF(AND(ISNUMBER(E259),E259&gt;=Settings!$B$6,G259&lt;&gt;"Yes"),"Receipt not marked as saved. ","")</f>
        <v/>
      </c>
      <c r="P259" s="15" t="str">
        <f aca="false">IF(AND(ISNUMBER(E259),E259&gt;=Settings!$B$5),"Large amount: review. ","")</f>
        <v/>
      </c>
    </row>
    <row r="260" customFormat="false" ht="15" hidden="false" customHeight="false" outlineLevel="0" collapsed="false">
      <c r="A260" s="10"/>
      <c r="B260" s="11"/>
      <c r="C260" s="11"/>
      <c r="D260" s="11"/>
      <c r="E260" s="12"/>
      <c r="F260" s="11"/>
      <c r="G260" s="11"/>
      <c r="H260" s="11"/>
      <c r="I260" s="13" t="str">
        <f aca="false">IF(NOT(COUNTA($A260:$H260)&gt;0),"",IF(K260&amp;L260&amp;M260&lt;&gt;"","ERROR",IF(N260&amp;O260&amp;P260&lt;&gt;"","CHECK","OK")))</f>
        <v/>
      </c>
      <c r="J260" s="14" t="str">
        <f aca="false">TRIM(K260&amp;L260&amp;M260&amp;N260&amp;O260&amp;P260)</f>
        <v/>
      </c>
      <c r="K260" s="15" t="str">
        <f aca="true">IF(NOT(COUNTA($A260:$H260)&gt;0),"",IF(A260="","Missing date. ",IF(NOT(ISNUMBER(A260)),"Date is not a real date. ",IF(YEAR(A260)&lt;&gt;Settings!$B$4,"Date outside tax year. ",IF(A260&gt;TODAY(),"Date is in the future. ","")))))</f>
        <v/>
      </c>
      <c r="L260" s="15" t="str">
        <f aca="false">IF(NOT(COUNTA($A260:$H260)&gt;0),"",IF(E260="","Missing amount. ",IF(NOT(ISNUMBER(E260)),"Amount is not a number. ",IF(E260&lt;=0,"Amount must be above zero. ",""))))</f>
        <v/>
      </c>
      <c r="M260" s="15" t="str">
        <f aca="false">IF(NOT(COUNTA($A260:$H260)&gt;0),"",IF(D260="","Missing category. ",IF(COUNTIF(Settings!$B$11:$B$40,D260)=0,"Category not in your list. ","")))</f>
        <v/>
      </c>
      <c r="N260" s="15" t="str">
        <f aca="false">IF(AND(ISNUMBER(A260),ISNUMBER(E260),B260&lt;&gt;""),IF(COUNTIFS($A$6:$A$505,A260,$B$6:$B$505,B260,$E$6:$E$505,E260)&gt;1,"Possible duplicate. ",""),"")</f>
        <v/>
      </c>
      <c r="O260" s="15" t="str">
        <f aca="false">IF(AND(ISNUMBER(E260),E260&gt;=Settings!$B$6,G260&lt;&gt;"Yes"),"Receipt not marked as saved. ","")</f>
        <v/>
      </c>
      <c r="P260" s="15" t="str">
        <f aca="false">IF(AND(ISNUMBER(E260),E260&gt;=Settings!$B$5),"Large amount: review. ","")</f>
        <v/>
      </c>
    </row>
    <row r="261" customFormat="false" ht="15" hidden="false" customHeight="false" outlineLevel="0" collapsed="false">
      <c r="A261" s="10"/>
      <c r="B261" s="11"/>
      <c r="C261" s="11"/>
      <c r="D261" s="11"/>
      <c r="E261" s="12"/>
      <c r="F261" s="11"/>
      <c r="G261" s="11"/>
      <c r="H261" s="11"/>
      <c r="I261" s="13" t="str">
        <f aca="false">IF(NOT(COUNTA($A261:$H261)&gt;0),"",IF(K261&amp;L261&amp;M261&lt;&gt;"","ERROR",IF(N261&amp;O261&amp;P261&lt;&gt;"","CHECK","OK")))</f>
        <v/>
      </c>
      <c r="J261" s="14" t="str">
        <f aca="false">TRIM(K261&amp;L261&amp;M261&amp;N261&amp;O261&amp;P261)</f>
        <v/>
      </c>
      <c r="K261" s="15" t="str">
        <f aca="true">IF(NOT(COUNTA($A261:$H261)&gt;0),"",IF(A261="","Missing date. ",IF(NOT(ISNUMBER(A261)),"Date is not a real date. ",IF(YEAR(A261)&lt;&gt;Settings!$B$4,"Date outside tax year. ",IF(A261&gt;TODAY(),"Date is in the future. ","")))))</f>
        <v/>
      </c>
      <c r="L261" s="15" t="str">
        <f aca="false">IF(NOT(COUNTA($A261:$H261)&gt;0),"",IF(E261="","Missing amount. ",IF(NOT(ISNUMBER(E261)),"Amount is not a number. ",IF(E261&lt;=0,"Amount must be above zero. ",""))))</f>
        <v/>
      </c>
      <c r="M261" s="15" t="str">
        <f aca="false">IF(NOT(COUNTA($A261:$H261)&gt;0),"",IF(D261="","Missing category. ",IF(COUNTIF(Settings!$B$11:$B$40,D261)=0,"Category not in your list. ","")))</f>
        <v/>
      </c>
      <c r="N261" s="15" t="str">
        <f aca="false">IF(AND(ISNUMBER(A261),ISNUMBER(E261),B261&lt;&gt;""),IF(COUNTIFS($A$6:$A$505,A261,$B$6:$B$505,B261,$E$6:$E$505,E261)&gt;1,"Possible duplicate. ",""),"")</f>
        <v/>
      </c>
      <c r="O261" s="15" t="str">
        <f aca="false">IF(AND(ISNUMBER(E261),E261&gt;=Settings!$B$6,G261&lt;&gt;"Yes"),"Receipt not marked as saved. ","")</f>
        <v/>
      </c>
      <c r="P261" s="15" t="str">
        <f aca="false">IF(AND(ISNUMBER(E261),E261&gt;=Settings!$B$5),"Large amount: review. ","")</f>
        <v/>
      </c>
    </row>
    <row r="262" customFormat="false" ht="15" hidden="false" customHeight="false" outlineLevel="0" collapsed="false">
      <c r="A262" s="10"/>
      <c r="B262" s="11"/>
      <c r="C262" s="11"/>
      <c r="D262" s="11"/>
      <c r="E262" s="12"/>
      <c r="F262" s="11"/>
      <c r="G262" s="11"/>
      <c r="H262" s="11"/>
      <c r="I262" s="13" t="str">
        <f aca="false">IF(NOT(COUNTA($A262:$H262)&gt;0),"",IF(K262&amp;L262&amp;M262&lt;&gt;"","ERROR",IF(N262&amp;O262&amp;P262&lt;&gt;"","CHECK","OK")))</f>
        <v/>
      </c>
      <c r="J262" s="14" t="str">
        <f aca="false">TRIM(K262&amp;L262&amp;M262&amp;N262&amp;O262&amp;P262)</f>
        <v/>
      </c>
      <c r="K262" s="15" t="str">
        <f aca="true">IF(NOT(COUNTA($A262:$H262)&gt;0),"",IF(A262="","Missing date. ",IF(NOT(ISNUMBER(A262)),"Date is not a real date. ",IF(YEAR(A262)&lt;&gt;Settings!$B$4,"Date outside tax year. ",IF(A262&gt;TODAY(),"Date is in the future. ","")))))</f>
        <v/>
      </c>
      <c r="L262" s="15" t="str">
        <f aca="false">IF(NOT(COUNTA($A262:$H262)&gt;0),"",IF(E262="","Missing amount. ",IF(NOT(ISNUMBER(E262)),"Amount is not a number. ",IF(E262&lt;=0,"Amount must be above zero. ",""))))</f>
        <v/>
      </c>
      <c r="M262" s="15" t="str">
        <f aca="false">IF(NOT(COUNTA($A262:$H262)&gt;0),"",IF(D262="","Missing category. ",IF(COUNTIF(Settings!$B$11:$B$40,D262)=0,"Category not in your list. ","")))</f>
        <v/>
      </c>
      <c r="N262" s="15" t="str">
        <f aca="false">IF(AND(ISNUMBER(A262),ISNUMBER(E262),B262&lt;&gt;""),IF(COUNTIFS($A$6:$A$505,A262,$B$6:$B$505,B262,$E$6:$E$505,E262)&gt;1,"Possible duplicate. ",""),"")</f>
        <v/>
      </c>
      <c r="O262" s="15" t="str">
        <f aca="false">IF(AND(ISNUMBER(E262),E262&gt;=Settings!$B$6,G262&lt;&gt;"Yes"),"Receipt not marked as saved. ","")</f>
        <v/>
      </c>
      <c r="P262" s="15" t="str">
        <f aca="false">IF(AND(ISNUMBER(E262),E262&gt;=Settings!$B$5),"Large amount: review. ","")</f>
        <v/>
      </c>
    </row>
    <row r="263" customFormat="false" ht="15" hidden="false" customHeight="false" outlineLevel="0" collapsed="false">
      <c r="A263" s="10"/>
      <c r="B263" s="11"/>
      <c r="C263" s="11"/>
      <c r="D263" s="11"/>
      <c r="E263" s="12"/>
      <c r="F263" s="11"/>
      <c r="G263" s="11"/>
      <c r="H263" s="11"/>
      <c r="I263" s="13" t="str">
        <f aca="false">IF(NOT(COUNTA($A263:$H263)&gt;0),"",IF(K263&amp;L263&amp;M263&lt;&gt;"","ERROR",IF(N263&amp;O263&amp;P263&lt;&gt;"","CHECK","OK")))</f>
        <v/>
      </c>
      <c r="J263" s="14" t="str">
        <f aca="false">TRIM(K263&amp;L263&amp;M263&amp;N263&amp;O263&amp;P263)</f>
        <v/>
      </c>
      <c r="K263" s="15" t="str">
        <f aca="true">IF(NOT(COUNTA($A263:$H263)&gt;0),"",IF(A263="","Missing date. ",IF(NOT(ISNUMBER(A263)),"Date is not a real date. ",IF(YEAR(A263)&lt;&gt;Settings!$B$4,"Date outside tax year. ",IF(A263&gt;TODAY(),"Date is in the future. ","")))))</f>
        <v/>
      </c>
      <c r="L263" s="15" t="str">
        <f aca="false">IF(NOT(COUNTA($A263:$H263)&gt;0),"",IF(E263="","Missing amount. ",IF(NOT(ISNUMBER(E263)),"Amount is not a number. ",IF(E263&lt;=0,"Amount must be above zero. ",""))))</f>
        <v/>
      </c>
      <c r="M263" s="15" t="str">
        <f aca="false">IF(NOT(COUNTA($A263:$H263)&gt;0),"",IF(D263="","Missing category. ",IF(COUNTIF(Settings!$B$11:$B$40,D263)=0,"Category not in your list. ","")))</f>
        <v/>
      </c>
      <c r="N263" s="15" t="str">
        <f aca="false">IF(AND(ISNUMBER(A263),ISNUMBER(E263),B263&lt;&gt;""),IF(COUNTIFS($A$6:$A$505,A263,$B$6:$B$505,B263,$E$6:$E$505,E263)&gt;1,"Possible duplicate. ",""),"")</f>
        <v/>
      </c>
      <c r="O263" s="15" t="str">
        <f aca="false">IF(AND(ISNUMBER(E263),E263&gt;=Settings!$B$6,G263&lt;&gt;"Yes"),"Receipt not marked as saved. ","")</f>
        <v/>
      </c>
      <c r="P263" s="15" t="str">
        <f aca="false">IF(AND(ISNUMBER(E263),E263&gt;=Settings!$B$5),"Large amount: review. ","")</f>
        <v/>
      </c>
    </row>
    <row r="264" customFormat="false" ht="15" hidden="false" customHeight="false" outlineLevel="0" collapsed="false">
      <c r="A264" s="10"/>
      <c r="B264" s="11"/>
      <c r="C264" s="11"/>
      <c r="D264" s="11"/>
      <c r="E264" s="12"/>
      <c r="F264" s="11"/>
      <c r="G264" s="11"/>
      <c r="H264" s="11"/>
      <c r="I264" s="13" t="str">
        <f aca="false">IF(NOT(COUNTA($A264:$H264)&gt;0),"",IF(K264&amp;L264&amp;M264&lt;&gt;"","ERROR",IF(N264&amp;O264&amp;P264&lt;&gt;"","CHECK","OK")))</f>
        <v/>
      </c>
      <c r="J264" s="14" t="str">
        <f aca="false">TRIM(K264&amp;L264&amp;M264&amp;N264&amp;O264&amp;P264)</f>
        <v/>
      </c>
      <c r="K264" s="15" t="str">
        <f aca="true">IF(NOT(COUNTA($A264:$H264)&gt;0),"",IF(A264="","Missing date. ",IF(NOT(ISNUMBER(A264)),"Date is not a real date. ",IF(YEAR(A264)&lt;&gt;Settings!$B$4,"Date outside tax year. ",IF(A264&gt;TODAY(),"Date is in the future. ","")))))</f>
        <v/>
      </c>
      <c r="L264" s="15" t="str">
        <f aca="false">IF(NOT(COUNTA($A264:$H264)&gt;0),"",IF(E264="","Missing amount. ",IF(NOT(ISNUMBER(E264)),"Amount is not a number. ",IF(E264&lt;=0,"Amount must be above zero. ",""))))</f>
        <v/>
      </c>
      <c r="M264" s="15" t="str">
        <f aca="false">IF(NOT(COUNTA($A264:$H264)&gt;0),"",IF(D264="","Missing category. ",IF(COUNTIF(Settings!$B$11:$B$40,D264)=0,"Category not in your list. ","")))</f>
        <v/>
      </c>
      <c r="N264" s="15" t="str">
        <f aca="false">IF(AND(ISNUMBER(A264),ISNUMBER(E264),B264&lt;&gt;""),IF(COUNTIFS($A$6:$A$505,A264,$B$6:$B$505,B264,$E$6:$E$505,E264)&gt;1,"Possible duplicate. ",""),"")</f>
        <v/>
      </c>
      <c r="O264" s="15" t="str">
        <f aca="false">IF(AND(ISNUMBER(E264),E264&gt;=Settings!$B$6,G264&lt;&gt;"Yes"),"Receipt not marked as saved. ","")</f>
        <v/>
      </c>
      <c r="P264" s="15" t="str">
        <f aca="false">IF(AND(ISNUMBER(E264),E264&gt;=Settings!$B$5),"Large amount: review. ","")</f>
        <v/>
      </c>
    </row>
    <row r="265" customFormat="false" ht="15" hidden="false" customHeight="false" outlineLevel="0" collapsed="false">
      <c r="A265" s="10"/>
      <c r="B265" s="11"/>
      <c r="C265" s="11"/>
      <c r="D265" s="11"/>
      <c r="E265" s="12"/>
      <c r="F265" s="11"/>
      <c r="G265" s="11"/>
      <c r="H265" s="11"/>
      <c r="I265" s="13" t="str">
        <f aca="false">IF(NOT(COUNTA($A265:$H265)&gt;0),"",IF(K265&amp;L265&amp;M265&lt;&gt;"","ERROR",IF(N265&amp;O265&amp;P265&lt;&gt;"","CHECK","OK")))</f>
        <v/>
      </c>
      <c r="J265" s="14" t="str">
        <f aca="false">TRIM(K265&amp;L265&amp;M265&amp;N265&amp;O265&amp;P265)</f>
        <v/>
      </c>
      <c r="K265" s="15" t="str">
        <f aca="true">IF(NOT(COUNTA($A265:$H265)&gt;0),"",IF(A265="","Missing date. ",IF(NOT(ISNUMBER(A265)),"Date is not a real date. ",IF(YEAR(A265)&lt;&gt;Settings!$B$4,"Date outside tax year. ",IF(A265&gt;TODAY(),"Date is in the future. ","")))))</f>
        <v/>
      </c>
      <c r="L265" s="15" t="str">
        <f aca="false">IF(NOT(COUNTA($A265:$H265)&gt;0),"",IF(E265="","Missing amount. ",IF(NOT(ISNUMBER(E265)),"Amount is not a number. ",IF(E265&lt;=0,"Amount must be above zero. ",""))))</f>
        <v/>
      </c>
      <c r="M265" s="15" t="str">
        <f aca="false">IF(NOT(COUNTA($A265:$H265)&gt;0),"",IF(D265="","Missing category. ",IF(COUNTIF(Settings!$B$11:$B$40,D265)=0,"Category not in your list. ","")))</f>
        <v/>
      </c>
      <c r="N265" s="15" t="str">
        <f aca="false">IF(AND(ISNUMBER(A265),ISNUMBER(E265),B265&lt;&gt;""),IF(COUNTIFS($A$6:$A$505,A265,$B$6:$B$505,B265,$E$6:$E$505,E265)&gt;1,"Possible duplicate. ",""),"")</f>
        <v/>
      </c>
      <c r="O265" s="15" t="str">
        <f aca="false">IF(AND(ISNUMBER(E265),E265&gt;=Settings!$B$6,G265&lt;&gt;"Yes"),"Receipt not marked as saved. ","")</f>
        <v/>
      </c>
      <c r="P265" s="15" t="str">
        <f aca="false">IF(AND(ISNUMBER(E265),E265&gt;=Settings!$B$5),"Large amount: review. ","")</f>
        <v/>
      </c>
    </row>
    <row r="266" customFormat="false" ht="15" hidden="false" customHeight="false" outlineLevel="0" collapsed="false">
      <c r="A266" s="10"/>
      <c r="B266" s="11"/>
      <c r="C266" s="11"/>
      <c r="D266" s="11"/>
      <c r="E266" s="12"/>
      <c r="F266" s="11"/>
      <c r="G266" s="11"/>
      <c r="H266" s="11"/>
      <c r="I266" s="13" t="str">
        <f aca="false">IF(NOT(COUNTA($A266:$H266)&gt;0),"",IF(K266&amp;L266&amp;M266&lt;&gt;"","ERROR",IF(N266&amp;O266&amp;P266&lt;&gt;"","CHECK","OK")))</f>
        <v/>
      </c>
      <c r="J266" s="14" t="str">
        <f aca="false">TRIM(K266&amp;L266&amp;M266&amp;N266&amp;O266&amp;P266)</f>
        <v/>
      </c>
      <c r="K266" s="15" t="str">
        <f aca="true">IF(NOT(COUNTA($A266:$H266)&gt;0),"",IF(A266="","Missing date. ",IF(NOT(ISNUMBER(A266)),"Date is not a real date. ",IF(YEAR(A266)&lt;&gt;Settings!$B$4,"Date outside tax year. ",IF(A266&gt;TODAY(),"Date is in the future. ","")))))</f>
        <v/>
      </c>
      <c r="L266" s="15" t="str">
        <f aca="false">IF(NOT(COUNTA($A266:$H266)&gt;0),"",IF(E266="","Missing amount. ",IF(NOT(ISNUMBER(E266)),"Amount is not a number. ",IF(E266&lt;=0,"Amount must be above zero. ",""))))</f>
        <v/>
      </c>
      <c r="M266" s="15" t="str">
        <f aca="false">IF(NOT(COUNTA($A266:$H266)&gt;0),"",IF(D266="","Missing category. ",IF(COUNTIF(Settings!$B$11:$B$40,D266)=0,"Category not in your list. ","")))</f>
        <v/>
      </c>
      <c r="N266" s="15" t="str">
        <f aca="false">IF(AND(ISNUMBER(A266),ISNUMBER(E266),B266&lt;&gt;""),IF(COUNTIFS($A$6:$A$505,A266,$B$6:$B$505,B266,$E$6:$E$505,E266)&gt;1,"Possible duplicate. ",""),"")</f>
        <v/>
      </c>
      <c r="O266" s="15" t="str">
        <f aca="false">IF(AND(ISNUMBER(E266),E266&gt;=Settings!$B$6,G266&lt;&gt;"Yes"),"Receipt not marked as saved. ","")</f>
        <v/>
      </c>
      <c r="P266" s="15" t="str">
        <f aca="false">IF(AND(ISNUMBER(E266),E266&gt;=Settings!$B$5),"Large amount: review. ","")</f>
        <v/>
      </c>
    </row>
    <row r="267" customFormat="false" ht="15" hidden="false" customHeight="false" outlineLevel="0" collapsed="false">
      <c r="A267" s="10"/>
      <c r="B267" s="11"/>
      <c r="C267" s="11"/>
      <c r="D267" s="11"/>
      <c r="E267" s="12"/>
      <c r="F267" s="11"/>
      <c r="G267" s="11"/>
      <c r="H267" s="11"/>
      <c r="I267" s="13" t="str">
        <f aca="false">IF(NOT(COUNTA($A267:$H267)&gt;0),"",IF(K267&amp;L267&amp;M267&lt;&gt;"","ERROR",IF(N267&amp;O267&amp;P267&lt;&gt;"","CHECK","OK")))</f>
        <v/>
      </c>
      <c r="J267" s="14" t="str">
        <f aca="false">TRIM(K267&amp;L267&amp;M267&amp;N267&amp;O267&amp;P267)</f>
        <v/>
      </c>
      <c r="K267" s="15" t="str">
        <f aca="true">IF(NOT(COUNTA($A267:$H267)&gt;0),"",IF(A267="","Missing date. ",IF(NOT(ISNUMBER(A267)),"Date is not a real date. ",IF(YEAR(A267)&lt;&gt;Settings!$B$4,"Date outside tax year. ",IF(A267&gt;TODAY(),"Date is in the future. ","")))))</f>
        <v/>
      </c>
      <c r="L267" s="15" t="str">
        <f aca="false">IF(NOT(COUNTA($A267:$H267)&gt;0),"",IF(E267="","Missing amount. ",IF(NOT(ISNUMBER(E267)),"Amount is not a number. ",IF(E267&lt;=0,"Amount must be above zero. ",""))))</f>
        <v/>
      </c>
      <c r="M267" s="15" t="str">
        <f aca="false">IF(NOT(COUNTA($A267:$H267)&gt;0),"",IF(D267="","Missing category. ",IF(COUNTIF(Settings!$B$11:$B$40,D267)=0,"Category not in your list. ","")))</f>
        <v/>
      </c>
      <c r="N267" s="15" t="str">
        <f aca="false">IF(AND(ISNUMBER(A267),ISNUMBER(E267),B267&lt;&gt;""),IF(COUNTIFS($A$6:$A$505,A267,$B$6:$B$505,B267,$E$6:$E$505,E267)&gt;1,"Possible duplicate. ",""),"")</f>
        <v/>
      </c>
      <c r="O267" s="15" t="str">
        <f aca="false">IF(AND(ISNUMBER(E267),E267&gt;=Settings!$B$6,G267&lt;&gt;"Yes"),"Receipt not marked as saved. ","")</f>
        <v/>
      </c>
      <c r="P267" s="15" t="str">
        <f aca="false">IF(AND(ISNUMBER(E267),E267&gt;=Settings!$B$5),"Large amount: review. ","")</f>
        <v/>
      </c>
    </row>
    <row r="268" customFormat="false" ht="15" hidden="false" customHeight="false" outlineLevel="0" collapsed="false">
      <c r="A268" s="10"/>
      <c r="B268" s="11"/>
      <c r="C268" s="11"/>
      <c r="D268" s="11"/>
      <c r="E268" s="12"/>
      <c r="F268" s="11"/>
      <c r="G268" s="11"/>
      <c r="H268" s="11"/>
      <c r="I268" s="13" t="str">
        <f aca="false">IF(NOT(COUNTA($A268:$H268)&gt;0),"",IF(K268&amp;L268&amp;M268&lt;&gt;"","ERROR",IF(N268&amp;O268&amp;P268&lt;&gt;"","CHECK","OK")))</f>
        <v/>
      </c>
      <c r="J268" s="14" t="str">
        <f aca="false">TRIM(K268&amp;L268&amp;M268&amp;N268&amp;O268&amp;P268)</f>
        <v/>
      </c>
      <c r="K268" s="15" t="str">
        <f aca="true">IF(NOT(COUNTA($A268:$H268)&gt;0),"",IF(A268="","Missing date. ",IF(NOT(ISNUMBER(A268)),"Date is not a real date. ",IF(YEAR(A268)&lt;&gt;Settings!$B$4,"Date outside tax year. ",IF(A268&gt;TODAY(),"Date is in the future. ","")))))</f>
        <v/>
      </c>
      <c r="L268" s="15" t="str">
        <f aca="false">IF(NOT(COUNTA($A268:$H268)&gt;0),"",IF(E268="","Missing amount. ",IF(NOT(ISNUMBER(E268)),"Amount is not a number. ",IF(E268&lt;=0,"Amount must be above zero. ",""))))</f>
        <v/>
      </c>
      <c r="M268" s="15" t="str">
        <f aca="false">IF(NOT(COUNTA($A268:$H268)&gt;0),"",IF(D268="","Missing category. ",IF(COUNTIF(Settings!$B$11:$B$40,D268)=0,"Category not in your list. ","")))</f>
        <v/>
      </c>
      <c r="N268" s="15" t="str">
        <f aca="false">IF(AND(ISNUMBER(A268),ISNUMBER(E268),B268&lt;&gt;""),IF(COUNTIFS($A$6:$A$505,A268,$B$6:$B$505,B268,$E$6:$E$505,E268)&gt;1,"Possible duplicate. ",""),"")</f>
        <v/>
      </c>
      <c r="O268" s="15" t="str">
        <f aca="false">IF(AND(ISNUMBER(E268),E268&gt;=Settings!$B$6,G268&lt;&gt;"Yes"),"Receipt not marked as saved. ","")</f>
        <v/>
      </c>
      <c r="P268" s="15" t="str">
        <f aca="false">IF(AND(ISNUMBER(E268),E268&gt;=Settings!$B$5),"Large amount: review. ","")</f>
        <v/>
      </c>
    </row>
    <row r="269" customFormat="false" ht="15" hidden="false" customHeight="false" outlineLevel="0" collapsed="false">
      <c r="A269" s="10"/>
      <c r="B269" s="11"/>
      <c r="C269" s="11"/>
      <c r="D269" s="11"/>
      <c r="E269" s="12"/>
      <c r="F269" s="11"/>
      <c r="G269" s="11"/>
      <c r="H269" s="11"/>
      <c r="I269" s="13" t="str">
        <f aca="false">IF(NOT(COUNTA($A269:$H269)&gt;0),"",IF(K269&amp;L269&amp;M269&lt;&gt;"","ERROR",IF(N269&amp;O269&amp;P269&lt;&gt;"","CHECK","OK")))</f>
        <v/>
      </c>
      <c r="J269" s="14" t="str">
        <f aca="false">TRIM(K269&amp;L269&amp;M269&amp;N269&amp;O269&amp;P269)</f>
        <v/>
      </c>
      <c r="K269" s="15" t="str">
        <f aca="true">IF(NOT(COUNTA($A269:$H269)&gt;0),"",IF(A269="","Missing date. ",IF(NOT(ISNUMBER(A269)),"Date is not a real date. ",IF(YEAR(A269)&lt;&gt;Settings!$B$4,"Date outside tax year. ",IF(A269&gt;TODAY(),"Date is in the future. ","")))))</f>
        <v/>
      </c>
      <c r="L269" s="15" t="str">
        <f aca="false">IF(NOT(COUNTA($A269:$H269)&gt;0),"",IF(E269="","Missing amount. ",IF(NOT(ISNUMBER(E269)),"Amount is not a number. ",IF(E269&lt;=0,"Amount must be above zero. ",""))))</f>
        <v/>
      </c>
      <c r="M269" s="15" t="str">
        <f aca="false">IF(NOT(COUNTA($A269:$H269)&gt;0),"",IF(D269="","Missing category. ",IF(COUNTIF(Settings!$B$11:$B$40,D269)=0,"Category not in your list. ","")))</f>
        <v/>
      </c>
      <c r="N269" s="15" t="str">
        <f aca="false">IF(AND(ISNUMBER(A269),ISNUMBER(E269),B269&lt;&gt;""),IF(COUNTIFS($A$6:$A$505,A269,$B$6:$B$505,B269,$E$6:$E$505,E269)&gt;1,"Possible duplicate. ",""),"")</f>
        <v/>
      </c>
      <c r="O269" s="15" t="str">
        <f aca="false">IF(AND(ISNUMBER(E269),E269&gt;=Settings!$B$6,G269&lt;&gt;"Yes"),"Receipt not marked as saved. ","")</f>
        <v/>
      </c>
      <c r="P269" s="15" t="str">
        <f aca="false">IF(AND(ISNUMBER(E269),E269&gt;=Settings!$B$5),"Large amount: review. ","")</f>
        <v/>
      </c>
    </row>
    <row r="270" customFormat="false" ht="15" hidden="false" customHeight="false" outlineLevel="0" collapsed="false">
      <c r="A270" s="10"/>
      <c r="B270" s="11"/>
      <c r="C270" s="11"/>
      <c r="D270" s="11"/>
      <c r="E270" s="12"/>
      <c r="F270" s="11"/>
      <c r="G270" s="11"/>
      <c r="H270" s="11"/>
      <c r="I270" s="13" t="str">
        <f aca="false">IF(NOT(COUNTA($A270:$H270)&gt;0),"",IF(K270&amp;L270&amp;M270&lt;&gt;"","ERROR",IF(N270&amp;O270&amp;P270&lt;&gt;"","CHECK","OK")))</f>
        <v/>
      </c>
      <c r="J270" s="14" t="str">
        <f aca="false">TRIM(K270&amp;L270&amp;M270&amp;N270&amp;O270&amp;P270)</f>
        <v/>
      </c>
      <c r="K270" s="15" t="str">
        <f aca="true">IF(NOT(COUNTA($A270:$H270)&gt;0),"",IF(A270="","Missing date. ",IF(NOT(ISNUMBER(A270)),"Date is not a real date. ",IF(YEAR(A270)&lt;&gt;Settings!$B$4,"Date outside tax year. ",IF(A270&gt;TODAY(),"Date is in the future. ","")))))</f>
        <v/>
      </c>
      <c r="L270" s="15" t="str">
        <f aca="false">IF(NOT(COUNTA($A270:$H270)&gt;0),"",IF(E270="","Missing amount. ",IF(NOT(ISNUMBER(E270)),"Amount is not a number. ",IF(E270&lt;=0,"Amount must be above zero. ",""))))</f>
        <v/>
      </c>
      <c r="M270" s="15" t="str">
        <f aca="false">IF(NOT(COUNTA($A270:$H270)&gt;0),"",IF(D270="","Missing category. ",IF(COUNTIF(Settings!$B$11:$B$40,D270)=0,"Category not in your list. ","")))</f>
        <v/>
      </c>
      <c r="N270" s="15" t="str">
        <f aca="false">IF(AND(ISNUMBER(A270),ISNUMBER(E270),B270&lt;&gt;""),IF(COUNTIFS($A$6:$A$505,A270,$B$6:$B$505,B270,$E$6:$E$505,E270)&gt;1,"Possible duplicate. ",""),"")</f>
        <v/>
      </c>
      <c r="O270" s="15" t="str">
        <f aca="false">IF(AND(ISNUMBER(E270),E270&gt;=Settings!$B$6,G270&lt;&gt;"Yes"),"Receipt not marked as saved. ","")</f>
        <v/>
      </c>
      <c r="P270" s="15" t="str">
        <f aca="false">IF(AND(ISNUMBER(E270),E270&gt;=Settings!$B$5),"Large amount: review. ","")</f>
        <v/>
      </c>
    </row>
    <row r="271" customFormat="false" ht="15" hidden="false" customHeight="false" outlineLevel="0" collapsed="false">
      <c r="A271" s="10"/>
      <c r="B271" s="11"/>
      <c r="C271" s="11"/>
      <c r="D271" s="11"/>
      <c r="E271" s="12"/>
      <c r="F271" s="11"/>
      <c r="G271" s="11"/>
      <c r="H271" s="11"/>
      <c r="I271" s="13" t="str">
        <f aca="false">IF(NOT(COUNTA($A271:$H271)&gt;0),"",IF(K271&amp;L271&amp;M271&lt;&gt;"","ERROR",IF(N271&amp;O271&amp;P271&lt;&gt;"","CHECK","OK")))</f>
        <v/>
      </c>
      <c r="J271" s="14" t="str">
        <f aca="false">TRIM(K271&amp;L271&amp;M271&amp;N271&amp;O271&amp;P271)</f>
        <v/>
      </c>
      <c r="K271" s="15" t="str">
        <f aca="true">IF(NOT(COUNTA($A271:$H271)&gt;0),"",IF(A271="","Missing date. ",IF(NOT(ISNUMBER(A271)),"Date is not a real date. ",IF(YEAR(A271)&lt;&gt;Settings!$B$4,"Date outside tax year. ",IF(A271&gt;TODAY(),"Date is in the future. ","")))))</f>
        <v/>
      </c>
      <c r="L271" s="15" t="str">
        <f aca="false">IF(NOT(COUNTA($A271:$H271)&gt;0),"",IF(E271="","Missing amount. ",IF(NOT(ISNUMBER(E271)),"Amount is not a number. ",IF(E271&lt;=0,"Amount must be above zero. ",""))))</f>
        <v/>
      </c>
      <c r="M271" s="15" t="str">
        <f aca="false">IF(NOT(COUNTA($A271:$H271)&gt;0),"",IF(D271="","Missing category. ",IF(COUNTIF(Settings!$B$11:$B$40,D271)=0,"Category not in your list. ","")))</f>
        <v/>
      </c>
      <c r="N271" s="15" t="str">
        <f aca="false">IF(AND(ISNUMBER(A271),ISNUMBER(E271),B271&lt;&gt;""),IF(COUNTIFS($A$6:$A$505,A271,$B$6:$B$505,B271,$E$6:$E$505,E271)&gt;1,"Possible duplicate. ",""),"")</f>
        <v/>
      </c>
      <c r="O271" s="15" t="str">
        <f aca="false">IF(AND(ISNUMBER(E271),E271&gt;=Settings!$B$6,G271&lt;&gt;"Yes"),"Receipt not marked as saved. ","")</f>
        <v/>
      </c>
      <c r="P271" s="15" t="str">
        <f aca="false">IF(AND(ISNUMBER(E271),E271&gt;=Settings!$B$5),"Large amount: review. ","")</f>
        <v/>
      </c>
    </row>
    <row r="272" customFormat="false" ht="15" hidden="false" customHeight="false" outlineLevel="0" collapsed="false">
      <c r="A272" s="10"/>
      <c r="B272" s="11"/>
      <c r="C272" s="11"/>
      <c r="D272" s="11"/>
      <c r="E272" s="12"/>
      <c r="F272" s="11"/>
      <c r="G272" s="11"/>
      <c r="H272" s="11"/>
      <c r="I272" s="13" t="str">
        <f aca="false">IF(NOT(COUNTA($A272:$H272)&gt;0),"",IF(K272&amp;L272&amp;M272&lt;&gt;"","ERROR",IF(N272&amp;O272&amp;P272&lt;&gt;"","CHECK","OK")))</f>
        <v/>
      </c>
      <c r="J272" s="14" t="str">
        <f aca="false">TRIM(K272&amp;L272&amp;M272&amp;N272&amp;O272&amp;P272)</f>
        <v/>
      </c>
      <c r="K272" s="15" t="str">
        <f aca="true">IF(NOT(COUNTA($A272:$H272)&gt;0),"",IF(A272="","Missing date. ",IF(NOT(ISNUMBER(A272)),"Date is not a real date. ",IF(YEAR(A272)&lt;&gt;Settings!$B$4,"Date outside tax year. ",IF(A272&gt;TODAY(),"Date is in the future. ","")))))</f>
        <v/>
      </c>
      <c r="L272" s="15" t="str">
        <f aca="false">IF(NOT(COUNTA($A272:$H272)&gt;0),"",IF(E272="","Missing amount. ",IF(NOT(ISNUMBER(E272)),"Amount is not a number. ",IF(E272&lt;=0,"Amount must be above zero. ",""))))</f>
        <v/>
      </c>
      <c r="M272" s="15" t="str">
        <f aca="false">IF(NOT(COUNTA($A272:$H272)&gt;0),"",IF(D272="","Missing category. ",IF(COUNTIF(Settings!$B$11:$B$40,D272)=0,"Category not in your list. ","")))</f>
        <v/>
      </c>
      <c r="N272" s="15" t="str">
        <f aca="false">IF(AND(ISNUMBER(A272),ISNUMBER(E272),B272&lt;&gt;""),IF(COUNTIFS($A$6:$A$505,A272,$B$6:$B$505,B272,$E$6:$E$505,E272)&gt;1,"Possible duplicate. ",""),"")</f>
        <v/>
      </c>
      <c r="O272" s="15" t="str">
        <f aca="false">IF(AND(ISNUMBER(E272),E272&gt;=Settings!$B$6,G272&lt;&gt;"Yes"),"Receipt not marked as saved. ","")</f>
        <v/>
      </c>
      <c r="P272" s="15" t="str">
        <f aca="false">IF(AND(ISNUMBER(E272),E272&gt;=Settings!$B$5),"Large amount: review. ","")</f>
        <v/>
      </c>
    </row>
    <row r="273" customFormat="false" ht="15" hidden="false" customHeight="false" outlineLevel="0" collapsed="false">
      <c r="A273" s="10"/>
      <c r="B273" s="11"/>
      <c r="C273" s="11"/>
      <c r="D273" s="11"/>
      <c r="E273" s="12"/>
      <c r="F273" s="11"/>
      <c r="G273" s="11"/>
      <c r="H273" s="11"/>
      <c r="I273" s="13" t="str">
        <f aca="false">IF(NOT(COUNTA($A273:$H273)&gt;0),"",IF(K273&amp;L273&amp;M273&lt;&gt;"","ERROR",IF(N273&amp;O273&amp;P273&lt;&gt;"","CHECK","OK")))</f>
        <v/>
      </c>
      <c r="J273" s="14" t="str">
        <f aca="false">TRIM(K273&amp;L273&amp;M273&amp;N273&amp;O273&amp;P273)</f>
        <v/>
      </c>
      <c r="K273" s="15" t="str">
        <f aca="true">IF(NOT(COUNTA($A273:$H273)&gt;0),"",IF(A273="","Missing date. ",IF(NOT(ISNUMBER(A273)),"Date is not a real date. ",IF(YEAR(A273)&lt;&gt;Settings!$B$4,"Date outside tax year. ",IF(A273&gt;TODAY(),"Date is in the future. ","")))))</f>
        <v/>
      </c>
      <c r="L273" s="15" t="str">
        <f aca="false">IF(NOT(COUNTA($A273:$H273)&gt;0),"",IF(E273="","Missing amount. ",IF(NOT(ISNUMBER(E273)),"Amount is not a number. ",IF(E273&lt;=0,"Amount must be above zero. ",""))))</f>
        <v/>
      </c>
      <c r="M273" s="15" t="str">
        <f aca="false">IF(NOT(COUNTA($A273:$H273)&gt;0),"",IF(D273="","Missing category. ",IF(COUNTIF(Settings!$B$11:$B$40,D273)=0,"Category not in your list. ","")))</f>
        <v/>
      </c>
      <c r="N273" s="15" t="str">
        <f aca="false">IF(AND(ISNUMBER(A273),ISNUMBER(E273),B273&lt;&gt;""),IF(COUNTIFS($A$6:$A$505,A273,$B$6:$B$505,B273,$E$6:$E$505,E273)&gt;1,"Possible duplicate. ",""),"")</f>
        <v/>
      </c>
      <c r="O273" s="15" t="str">
        <f aca="false">IF(AND(ISNUMBER(E273),E273&gt;=Settings!$B$6,G273&lt;&gt;"Yes"),"Receipt not marked as saved. ","")</f>
        <v/>
      </c>
      <c r="P273" s="15" t="str">
        <f aca="false">IF(AND(ISNUMBER(E273),E273&gt;=Settings!$B$5),"Large amount: review. ","")</f>
        <v/>
      </c>
    </row>
    <row r="274" customFormat="false" ht="15" hidden="false" customHeight="false" outlineLevel="0" collapsed="false">
      <c r="A274" s="10"/>
      <c r="B274" s="11"/>
      <c r="C274" s="11"/>
      <c r="D274" s="11"/>
      <c r="E274" s="12"/>
      <c r="F274" s="11"/>
      <c r="G274" s="11"/>
      <c r="H274" s="11"/>
      <c r="I274" s="13" t="str">
        <f aca="false">IF(NOT(COUNTA($A274:$H274)&gt;0),"",IF(K274&amp;L274&amp;M274&lt;&gt;"","ERROR",IF(N274&amp;O274&amp;P274&lt;&gt;"","CHECK","OK")))</f>
        <v/>
      </c>
      <c r="J274" s="14" t="str">
        <f aca="false">TRIM(K274&amp;L274&amp;M274&amp;N274&amp;O274&amp;P274)</f>
        <v/>
      </c>
      <c r="K274" s="15" t="str">
        <f aca="true">IF(NOT(COUNTA($A274:$H274)&gt;0),"",IF(A274="","Missing date. ",IF(NOT(ISNUMBER(A274)),"Date is not a real date. ",IF(YEAR(A274)&lt;&gt;Settings!$B$4,"Date outside tax year. ",IF(A274&gt;TODAY(),"Date is in the future. ","")))))</f>
        <v/>
      </c>
      <c r="L274" s="15" t="str">
        <f aca="false">IF(NOT(COUNTA($A274:$H274)&gt;0),"",IF(E274="","Missing amount. ",IF(NOT(ISNUMBER(E274)),"Amount is not a number. ",IF(E274&lt;=0,"Amount must be above zero. ",""))))</f>
        <v/>
      </c>
      <c r="M274" s="15" t="str">
        <f aca="false">IF(NOT(COUNTA($A274:$H274)&gt;0),"",IF(D274="","Missing category. ",IF(COUNTIF(Settings!$B$11:$B$40,D274)=0,"Category not in your list. ","")))</f>
        <v/>
      </c>
      <c r="N274" s="15" t="str">
        <f aca="false">IF(AND(ISNUMBER(A274),ISNUMBER(E274),B274&lt;&gt;""),IF(COUNTIFS($A$6:$A$505,A274,$B$6:$B$505,B274,$E$6:$E$505,E274)&gt;1,"Possible duplicate. ",""),"")</f>
        <v/>
      </c>
      <c r="O274" s="15" t="str">
        <f aca="false">IF(AND(ISNUMBER(E274),E274&gt;=Settings!$B$6,G274&lt;&gt;"Yes"),"Receipt not marked as saved. ","")</f>
        <v/>
      </c>
      <c r="P274" s="15" t="str">
        <f aca="false">IF(AND(ISNUMBER(E274),E274&gt;=Settings!$B$5),"Large amount: review. ","")</f>
        <v/>
      </c>
    </row>
    <row r="275" customFormat="false" ht="15" hidden="false" customHeight="false" outlineLevel="0" collapsed="false">
      <c r="A275" s="10"/>
      <c r="B275" s="11"/>
      <c r="C275" s="11"/>
      <c r="D275" s="11"/>
      <c r="E275" s="12"/>
      <c r="F275" s="11"/>
      <c r="G275" s="11"/>
      <c r="H275" s="11"/>
      <c r="I275" s="13" t="str">
        <f aca="false">IF(NOT(COUNTA($A275:$H275)&gt;0),"",IF(K275&amp;L275&amp;M275&lt;&gt;"","ERROR",IF(N275&amp;O275&amp;P275&lt;&gt;"","CHECK","OK")))</f>
        <v/>
      </c>
      <c r="J275" s="14" t="str">
        <f aca="false">TRIM(K275&amp;L275&amp;M275&amp;N275&amp;O275&amp;P275)</f>
        <v/>
      </c>
      <c r="K275" s="15" t="str">
        <f aca="true">IF(NOT(COUNTA($A275:$H275)&gt;0),"",IF(A275="","Missing date. ",IF(NOT(ISNUMBER(A275)),"Date is not a real date. ",IF(YEAR(A275)&lt;&gt;Settings!$B$4,"Date outside tax year. ",IF(A275&gt;TODAY(),"Date is in the future. ","")))))</f>
        <v/>
      </c>
      <c r="L275" s="15" t="str">
        <f aca="false">IF(NOT(COUNTA($A275:$H275)&gt;0),"",IF(E275="","Missing amount. ",IF(NOT(ISNUMBER(E275)),"Amount is not a number. ",IF(E275&lt;=0,"Amount must be above zero. ",""))))</f>
        <v/>
      </c>
      <c r="M275" s="15" t="str">
        <f aca="false">IF(NOT(COUNTA($A275:$H275)&gt;0),"",IF(D275="","Missing category. ",IF(COUNTIF(Settings!$B$11:$B$40,D275)=0,"Category not in your list. ","")))</f>
        <v/>
      </c>
      <c r="N275" s="15" t="str">
        <f aca="false">IF(AND(ISNUMBER(A275),ISNUMBER(E275),B275&lt;&gt;""),IF(COUNTIFS($A$6:$A$505,A275,$B$6:$B$505,B275,$E$6:$E$505,E275)&gt;1,"Possible duplicate. ",""),"")</f>
        <v/>
      </c>
      <c r="O275" s="15" t="str">
        <f aca="false">IF(AND(ISNUMBER(E275),E275&gt;=Settings!$B$6,G275&lt;&gt;"Yes"),"Receipt not marked as saved. ","")</f>
        <v/>
      </c>
      <c r="P275" s="15" t="str">
        <f aca="false">IF(AND(ISNUMBER(E275),E275&gt;=Settings!$B$5),"Large amount: review. ","")</f>
        <v/>
      </c>
    </row>
    <row r="276" customFormat="false" ht="15" hidden="false" customHeight="false" outlineLevel="0" collapsed="false">
      <c r="A276" s="10"/>
      <c r="B276" s="11"/>
      <c r="C276" s="11"/>
      <c r="D276" s="11"/>
      <c r="E276" s="12"/>
      <c r="F276" s="11"/>
      <c r="G276" s="11"/>
      <c r="H276" s="11"/>
      <c r="I276" s="13" t="str">
        <f aca="false">IF(NOT(COUNTA($A276:$H276)&gt;0),"",IF(K276&amp;L276&amp;M276&lt;&gt;"","ERROR",IF(N276&amp;O276&amp;P276&lt;&gt;"","CHECK","OK")))</f>
        <v/>
      </c>
      <c r="J276" s="14" t="str">
        <f aca="false">TRIM(K276&amp;L276&amp;M276&amp;N276&amp;O276&amp;P276)</f>
        <v/>
      </c>
      <c r="K276" s="15" t="str">
        <f aca="true">IF(NOT(COUNTA($A276:$H276)&gt;0),"",IF(A276="","Missing date. ",IF(NOT(ISNUMBER(A276)),"Date is not a real date. ",IF(YEAR(A276)&lt;&gt;Settings!$B$4,"Date outside tax year. ",IF(A276&gt;TODAY(),"Date is in the future. ","")))))</f>
        <v/>
      </c>
      <c r="L276" s="15" t="str">
        <f aca="false">IF(NOT(COUNTA($A276:$H276)&gt;0),"",IF(E276="","Missing amount. ",IF(NOT(ISNUMBER(E276)),"Amount is not a number. ",IF(E276&lt;=0,"Amount must be above zero. ",""))))</f>
        <v/>
      </c>
      <c r="M276" s="15" t="str">
        <f aca="false">IF(NOT(COUNTA($A276:$H276)&gt;0),"",IF(D276="","Missing category. ",IF(COUNTIF(Settings!$B$11:$B$40,D276)=0,"Category not in your list. ","")))</f>
        <v/>
      </c>
      <c r="N276" s="15" t="str">
        <f aca="false">IF(AND(ISNUMBER(A276),ISNUMBER(E276),B276&lt;&gt;""),IF(COUNTIFS($A$6:$A$505,A276,$B$6:$B$505,B276,$E$6:$E$505,E276)&gt;1,"Possible duplicate. ",""),"")</f>
        <v/>
      </c>
      <c r="O276" s="15" t="str">
        <f aca="false">IF(AND(ISNUMBER(E276),E276&gt;=Settings!$B$6,G276&lt;&gt;"Yes"),"Receipt not marked as saved. ","")</f>
        <v/>
      </c>
      <c r="P276" s="15" t="str">
        <f aca="false">IF(AND(ISNUMBER(E276),E276&gt;=Settings!$B$5),"Large amount: review. ","")</f>
        <v/>
      </c>
    </row>
    <row r="277" customFormat="false" ht="15" hidden="false" customHeight="false" outlineLevel="0" collapsed="false">
      <c r="A277" s="10"/>
      <c r="B277" s="11"/>
      <c r="C277" s="11"/>
      <c r="D277" s="11"/>
      <c r="E277" s="12"/>
      <c r="F277" s="11"/>
      <c r="G277" s="11"/>
      <c r="H277" s="11"/>
      <c r="I277" s="13" t="str">
        <f aca="false">IF(NOT(COUNTA($A277:$H277)&gt;0),"",IF(K277&amp;L277&amp;M277&lt;&gt;"","ERROR",IF(N277&amp;O277&amp;P277&lt;&gt;"","CHECK","OK")))</f>
        <v/>
      </c>
      <c r="J277" s="14" t="str">
        <f aca="false">TRIM(K277&amp;L277&amp;M277&amp;N277&amp;O277&amp;P277)</f>
        <v/>
      </c>
      <c r="K277" s="15" t="str">
        <f aca="true">IF(NOT(COUNTA($A277:$H277)&gt;0),"",IF(A277="","Missing date. ",IF(NOT(ISNUMBER(A277)),"Date is not a real date. ",IF(YEAR(A277)&lt;&gt;Settings!$B$4,"Date outside tax year. ",IF(A277&gt;TODAY(),"Date is in the future. ","")))))</f>
        <v/>
      </c>
      <c r="L277" s="15" t="str">
        <f aca="false">IF(NOT(COUNTA($A277:$H277)&gt;0),"",IF(E277="","Missing amount. ",IF(NOT(ISNUMBER(E277)),"Amount is not a number. ",IF(E277&lt;=0,"Amount must be above zero. ",""))))</f>
        <v/>
      </c>
      <c r="M277" s="15" t="str">
        <f aca="false">IF(NOT(COUNTA($A277:$H277)&gt;0),"",IF(D277="","Missing category. ",IF(COUNTIF(Settings!$B$11:$B$40,D277)=0,"Category not in your list. ","")))</f>
        <v/>
      </c>
      <c r="N277" s="15" t="str">
        <f aca="false">IF(AND(ISNUMBER(A277),ISNUMBER(E277),B277&lt;&gt;""),IF(COUNTIFS($A$6:$A$505,A277,$B$6:$B$505,B277,$E$6:$E$505,E277)&gt;1,"Possible duplicate. ",""),"")</f>
        <v/>
      </c>
      <c r="O277" s="15" t="str">
        <f aca="false">IF(AND(ISNUMBER(E277),E277&gt;=Settings!$B$6,G277&lt;&gt;"Yes"),"Receipt not marked as saved. ","")</f>
        <v/>
      </c>
      <c r="P277" s="15" t="str">
        <f aca="false">IF(AND(ISNUMBER(E277),E277&gt;=Settings!$B$5),"Large amount: review. ","")</f>
        <v/>
      </c>
    </row>
    <row r="278" customFormat="false" ht="15" hidden="false" customHeight="false" outlineLevel="0" collapsed="false">
      <c r="A278" s="10"/>
      <c r="B278" s="11"/>
      <c r="C278" s="11"/>
      <c r="D278" s="11"/>
      <c r="E278" s="12"/>
      <c r="F278" s="11"/>
      <c r="G278" s="11"/>
      <c r="H278" s="11"/>
      <c r="I278" s="13" t="str">
        <f aca="false">IF(NOT(COUNTA($A278:$H278)&gt;0),"",IF(K278&amp;L278&amp;M278&lt;&gt;"","ERROR",IF(N278&amp;O278&amp;P278&lt;&gt;"","CHECK","OK")))</f>
        <v/>
      </c>
      <c r="J278" s="14" t="str">
        <f aca="false">TRIM(K278&amp;L278&amp;M278&amp;N278&amp;O278&amp;P278)</f>
        <v/>
      </c>
      <c r="K278" s="15" t="str">
        <f aca="true">IF(NOT(COUNTA($A278:$H278)&gt;0),"",IF(A278="","Missing date. ",IF(NOT(ISNUMBER(A278)),"Date is not a real date. ",IF(YEAR(A278)&lt;&gt;Settings!$B$4,"Date outside tax year. ",IF(A278&gt;TODAY(),"Date is in the future. ","")))))</f>
        <v/>
      </c>
      <c r="L278" s="15" t="str">
        <f aca="false">IF(NOT(COUNTA($A278:$H278)&gt;0),"",IF(E278="","Missing amount. ",IF(NOT(ISNUMBER(E278)),"Amount is not a number. ",IF(E278&lt;=0,"Amount must be above zero. ",""))))</f>
        <v/>
      </c>
      <c r="M278" s="15" t="str">
        <f aca="false">IF(NOT(COUNTA($A278:$H278)&gt;0),"",IF(D278="","Missing category. ",IF(COUNTIF(Settings!$B$11:$B$40,D278)=0,"Category not in your list. ","")))</f>
        <v/>
      </c>
      <c r="N278" s="15" t="str">
        <f aca="false">IF(AND(ISNUMBER(A278),ISNUMBER(E278),B278&lt;&gt;""),IF(COUNTIFS($A$6:$A$505,A278,$B$6:$B$505,B278,$E$6:$E$505,E278)&gt;1,"Possible duplicate. ",""),"")</f>
        <v/>
      </c>
      <c r="O278" s="15" t="str">
        <f aca="false">IF(AND(ISNUMBER(E278),E278&gt;=Settings!$B$6,G278&lt;&gt;"Yes"),"Receipt not marked as saved. ","")</f>
        <v/>
      </c>
      <c r="P278" s="15" t="str">
        <f aca="false">IF(AND(ISNUMBER(E278),E278&gt;=Settings!$B$5),"Large amount: review. ","")</f>
        <v/>
      </c>
    </row>
    <row r="279" customFormat="false" ht="15" hidden="false" customHeight="false" outlineLevel="0" collapsed="false">
      <c r="A279" s="10"/>
      <c r="B279" s="11"/>
      <c r="C279" s="11"/>
      <c r="D279" s="11"/>
      <c r="E279" s="12"/>
      <c r="F279" s="11"/>
      <c r="G279" s="11"/>
      <c r="H279" s="11"/>
      <c r="I279" s="13" t="str">
        <f aca="false">IF(NOT(COUNTA($A279:$H279)&gt;0),"",IF(K279&amp;L279&amp;M279&lt;&gt;"","ERROR",IF(N279&amp;O279&amp;P279&lt;&gt;"","CHECK","OK")))</f>
        <v/>
      </c>
      <c r="J279" s="14" t="str">
        <f aca="false">TRIM(K279&amp;L279&amp;M279&amp;N279&amp;O279&amp;P279)</f>
        <v/>
      </c>
      <c r="K279" s="15" t="str">
        <f aca="true">IF(NOT(COUNTA($A279:$H279)&gt;0),"",IF(A279="","Missing date. ",IF(NOT(ISNUMBER(A279)),"Date is not a real date. ",IF(YEAR(A279)&lt;&gt;Settings!$B$4,"Date outside tax year. ",IF(A279&gt;TODAY(),"Date is in the future. ","")))))</f>
        <v/>
      </c>
      <c r="L279" s="15" t="str">
        <f aca="false">IF(NOT(COUNTA($A279:$H279)&gt;0),"",IF(E279="","Missing amount. ",IF(NOT(ISNUMBER(E279)),"Amount is not a number. ",IF(E279&lt;=0,"Amount must be above zero. ",""))))</f>
        <v/>
      </c>
      <c r="M279" s="15" t="str">
        <f aca="false">IF(NOT(COUNTA($A279:$H279)&gt;0),"",IF(D279="","Missing category. ",IF(COUNTIF(Settings!$B$11:$B$40,D279)=0,"Category not in your list. ","")))</f>
        <v/>
      </c>
      <c r="N279" s="15" t="str">
        <f aca="false">IF(AND(ISNUMBER(A279),ISNUMBER(E279),B279&lt;&gt;""),IF(COUNTIFS($A$6:$A$505,A279,$B$6:$B$505,B279,$E$6:$E$505,E279)&gt;1,"Possible duplicate. ",""),"")</f>
        <v/>
      </c>
      <c r="O279" s="15" t="str">
        <f aca="false">IF(AND(ISNUMBER(E279),E279&gt;=Settings!$B$6,G279&lt;&gt;"Yes"),"Receipt not marked as saved. ","")</f>
        <v/>
      </c>
      <c r="P279" s="15" t="str">
        <f aca="false">IF(AND(ISNUMBER(E279),E279&gt;=Settings!$B$5),"Large amount: review. ","")</f>
        <v/>
      </c>
    </row>
    <row r="280" customFormat="false" ht="15" hidden="false" customHeight="false" outlineLevel="0" collapsed="false">
      <c r="A280" s="10"/>
      <c r="B280" s="11"/>
      <c r="C280" s="11"/>
      <c r="D280" s="11"/>
      <c r="E280" s="12"/>
      <c r="F280" s="11"/>
      <c r="G280" s="11"/>
      <c r="H280" s="11"/>
      <c r="I280" s="13" t="str">
        <f aca="false">IF(NOT(COUNTA($A280:$H280)&gt;0),"",IF(K280&amp;L280&amp;M280&lt;&gt;"","ERROR",IF(N280&amp;O280&amp;P280&lt;&gt;"","CHECK","OK")))</f>
        <v/>
      </c>
      <c r="J280" s="14" t="str">
        <f aca="false">TRIM(K280&amp;L280&amp;M280&amp;N280&amp;O280&amp;P280)</f>
        <v/>
      </c>
      <c r="K280" s="15" t="str">
        <f aca="true">IF(NOT(COUNTA($A280:$H280)&gt;0),"",IF(A280="","Missing date. ",IF(NOT(ISNUMBER(A280)),"Date is not a real date. ",IF(YEAR(A280)&lt;&gt;Settings!$B$4,"Date outside tax year. ",IF(A280&gt;TODAY(),"Date is in the future. ","")))))</f>
        <v/>
      </c>
      <c r="L280" s="15" t="str">
        <f aca="false">IF(NOT(COUNTA($A280:$H280)&gt;0),"",IF(E280="","Missing amount. ",IF(NOT(ISNUMBER(E280)),"Amount is not a number. ",IF(E280&lt;=0,"Amount must be above zero. ",""))))</f>
        <v/>
      </c>
      <c r="M280" s="15" t="str">
        <f aca="false">IF(NOT(COUNTA($A280:$H280)&gt;0),"",IF(D280="","Missing category. ",IF(COUNTIF(Settings!$B$11:$B$40,D280)=0,"Category not in your list. ","")))</f>
        <v/>
      </c>
      <c r="N280" s="15" t="str">
        <f aca="false">IF(AND(ISNUMBER(A280),ISNUMBER(E280),B280&lt;&gt;""),IF(COUNTIFS($A$6:$A$505,A280,$B$6:$B$505,B280,$E$6:$E$505,E280)&gt;1,"Possible duplicate. ",""),"")</f>
        <v/>
      </c>
      <c r="O280" s="15" t="str">
        <f aca="false">IF(AND(ISNUMBER(E280),E280&gt;=Settings!$B$6,G280&lt;&gt;"Yes"),"Receipt not marked as saved. ","")</f>
        <v/>
      </c>
      <c r="P280" s="15" t="str">
        <f aca="false">IF(AND(ISNUMBER(E280),E280&gt;=Settings!$B$5),"Large amount: review. ","")</f>
        <v/>
      </c>
    </row>
    <row r="281" customFormat="false" ht="15" hidden="false" customHeight="false" outlineLevel="0" collapsed="false">
      <c r="A281" s="10"/>
      <c r="B281" s="11"/>
      <c r="C281" s="11"/>
      <c r="D281" s="11"/>
      <c r="E281" s="12"/>
      <c r="F281" s="11"/>
      <c r="G281" s="11"/>
      <c r="H281" s="11"/>
      <c r="I281" s="13" t="str">
        <f aca="false">IF(NOT(COUNTA($A281:$H281)&gt;0),"",IF(K281&amp;L281&amp;M281&lt;&gt;"","ERROR",IF(N281&amp;O281&amp;P281&lt;&gt;"","CHECK","OK")))</f>
        <v/>
      </c>
      <c r="J281" s="14" t="str">
        <f aca="false">TRIM(K281&amp;L281&amp;M281&amp;N281&amp;O281&amp;P281)</f>
        <v/>
      </c>
      <c r="K281" s="15" t="str">
        <f aca="true">IF(NOT(COUNTA($A281:$H281)&gt;0),"",IF(A281="","Missing date. ",IF(NOT(ISNUMBER(A281)),"Date is not a real date. ",IF(YEAR(A281)&lt;&gt;Settings!$B$4,"Date outside tax year. ",IF(A281&gt;TODAY(),"Date is in the future. ","")))))</f>
        <v/>
      </c>
      <c r="L281" s="15" t="str">
        <f aca="false">IF(NOT(COUNTA($A281:$H281)&gt;0),"",IF(E281="","Missing amount. ",IF(NOT(ISNUMBER(E281)),"Amount is not a number. ",IF(E281&lt;=0,"Amount must be above zero. ",""))))</f>
        <v/>
      </c>
      <c r="M281" s="15" t="str">
        <f aca="false">IF(NOT(COUNTA($A281:$H281)&gt;0),"",IF(D281="","Missing category. ",IF(COUNTIF(Settings!$B$11:$B$40,D281)=0,"Category not in your list. ","")))</f>
        <v/>
      </c>
      <c r="N281" s="15" t="str">
        <f aca="false">IF(AND(ISNUMBER(A281),ISNUMBER(E281),B281&lt;&gt;""),IF(COUNTIFS($A$6:$A$505,A281,$B$6:$B$505,B281,$E$6:$E$505,E281)&gt;1,"Possible duplicate. ",""),"")</f>
        <v/>
      </c>
      <c r="O281" s="15" t="str">
        <f aca="false">IF(AND(ISNUMBER(E281),E281&gt;=Settings!$B$6,G281&lt;&gt;"Yes"),"Receipt not marked as saved. ","")</f>
        <v/>
      </c>
      <c r="P281" s="15" t="str">
        <f aca="false">IF(AND(ISNUMBER(E281),E281&gt;=Settings!$B$5),"Large amount: review. ","")</f>
        <v/>
      </c>
    </row>
    <row r="282" customFormat="false" ht="15" hidden="false" customHeight="false" outlineLevel="0" collapsed="false">
      <c r="A282" s="10"/>
      <c r="B282" s="11"/>
      <c r="C282" s="11"/>
      <c r="D282" s="11"/>
      <c r="E282" s="12"/>
      <c r="F282" s="11"/>
      <c r="G282" s="11"/>
      <c r="H282" s="11"/>
      <c r="I282" s="13" t="str">
        <f aca="false">IF(NOT(COUNTA($A282:$H282)&gt;0),"",IF(K282&amp;L282&amp;M282&lt;&gt;"","ERROR",IF(N282&amp;O282&amp;P282&lt;&gt;"","CHECK","OK")))</f>
        <v/>
      </c>
      <c r="J282" s="14" t="str">
        <f aca="false">TRIM(K282&amp;L282&amp;M282&amp;N282&amp;O282&amp;P282)</f>
        <v/>
      </c>
      <c r="K282" s="15" t="str">
        <f aca="true">IF(NOT(COUNTA($A282:$H282)&gt;0),"",IF(A282="","Missing date. ",IF(NOT(ISNUMBER(A282)),"Date is not a real date. ",IF(YEAR(A282)&lt;&gt;Settings!$B$4,"Date outside tax year. ",IF(A282&gt;TODAY(),"Date is in the future. ","")))))</f>
        <v/>
      </c>
      <c r="L282" s="15" t="str">
        <f aca="false">IF(NOT(COUNTA($A282:$H282)&gt;0),"",IF(E282="","Missing amount. ",IF(NOT(ISNUMBER(E282)),"Amount is not a number. ",IF(E282&lt;=0,"Amount must be above zero. ",""))))</f>
        <v/>
      </c>
      <c r="M282" s="15" t="str">
        <f aca="false">IF(NOT(COUNTA($A282:$H282)&gt;0),"",IF(D282="","Missing category. ",IF(COUNTIF(Settings!$B$11:$B$40,D282)=0,"Category not in your list. ","")))</f>
        <v/>
      </c>
      <c r="N282" s="15" t="str">
        <f aca="false">IF(AND(ISNUMBER(A282),ISNUMBER(E282),B282&lt;&gt;""),IF(COUNTIFS($A$6:$A$505,A282,$B$6:$B$505,B282,$E$6:$E$505,E282)&gt;1,"Possible duplicate. ",""),"")</f>
        <v/>
      </c>
      <c r="O282" s="15" t="str">
        <f aca="false">IF(AND(ISNUMBER(E282),E282&gt;=Settings!$B$6,G282&lt;&gt;"Yes"),"Receipt not marked as saved. ","")</f>
        <v/>
      </c>
      <c r="P282" s="15" t="str">
        <f aca="false">IF(AND(ISNUMBER(E282),E282&gt;=Settings!$B$5),"Large amount: review. ","")</f>
        <v/>
      </c>
    </row>
    <row r="283" customFormat="false" ht="15" hidden="false" customHeight="false" outlineLevel="0" collapsed="false">
      <c r="A283" s="10"/>
      <c r="B283" s="11"/>
      <c r="C283" s="11"/>
      <c r="D283" s="11"/>
      <c r="E283" s="12"/>
      <c r="F283" s="11"/>
      <c r="G283" s="11"/>
      <c r="H283" s="11"/>
      <c r="I283" s="13" t="str">
        <f aca="false">IF(NOT(COUNTA($A283:$H283)&gt;0),"",IF(K283&amp;L283&amp;M283&lt;&gt;"","ERROR",IF(N283&amp;O283&amp;P283&lt;&gt;"","CHECK","OK")))</f>
        <v/>
      </c>
      <c r="J283" s="14" t="str">
        <f aca="false">TRIM(K283&amp;L283&amp;M283&amp;N283&amp;O283&amp;P283)</f>
        <v/>
      </c>
      <c r="K283" s="15" t="str">
        <f aca="true">IF(NOT(COUNTA($A283:$H283)&gt;0),"",IF(A283="","Missing date. ",IF(NOT(ISNUMBER(A283)),"Date is not a real date. ",IF(YEAR(A283)&lt;&gt;Settings!$B$4,"Date outside tax year. ",IF(A283&gt;TODAY(),"Date is in the future. ","")))))</f>
        <v/>
      </c>
      <c r="L283" s="15" t="str">
        <f aca="false">IF(NOT(COUNTA($A283:$H283)&gt;0),"",IF(E283="","Missing amount. ",IF(NOT(ISNUMBER(E283)),"Amount is not a number. ",IF(E283&lt;=0,"Amount must be above zero. ",""))))</f>
        <v/>
      </c>
      <c r="M283" s="15" t="str">
        <f aca="false">IF(NOT(COUNTA($A283:$H283)&gt;0),"",IF(D283="","Missing category. ",IF(COUNTIF(Settings!$B$11:$B$40,D283)=0,"Category not in your list. ","")))</f>
        <v/>
      </c>
      <c r="N283" s="15" t="str">
        <f aca="false">IF(AND(ISNUMBER(A283),ISNUMBER(E283),B283&lt;&gt;""),IF(COUNTIFS($A$6:$A$505,A283,$B$6:$B$505,B283,$E$6:$E$505,E283)&gt;1,"Possible duplicate. ",""),"")</f>
        <v/>
      </c>
      <c r="O283" s="15" t="str">
        <f aca="false">IF(AND(ISNUMBER(E283),E283&gt;=Settings!$B$6,G283&lt;&gt;"Yes"),"Receipt not marked as saved. ","")</f>
        <v/>
      </c>
      <c r="P283" s="15" t="str">
        <f aca="false">IF(AND(ISNUMBER(E283),E283&gt;=Settings!$B$5),"Large amount: review. ","")</f>
        <v/>
      </c>
    </row>
    <row r="284" customFormat="false" ht="15" hidden="false" customHeight="false" outlineLevel="0" collapsed="false">
      <c r="A284" s="10"/>
      <c r="B284" s="11"/>
      <c r="C284" s="11"/>
      <c r="D284" s="11"/>
      <c r="E284" s="12"/>
      <c r="F284" s="11"/>
      <c r="G284" s="11"/>
      <c r="H284" s="11"/>
      <c r="I284" s="13" t="str">
        <f aca="false">IF(NOT(COUNTA($A284:$H284)&gt;0),"",IF(K284&amp;L284&amp;M284&lt;&gt;"","ERROR",IF(N284&amp;O284&amp;P284&lt;&gt;"","CHECK","OK")))</f>
        <v/>
      </c>
      <c r="J284" s="14" t="str">
        <f aca="false">TRIM(K284&amp;L284&amp;M284&amp;N284&amp;O284&amp;P284)</f>
        <v/>
      </c>
      <c r="K284" s="15" t="str">
        <f aca="true">IF(NOT(COUNTA($A284:$H284)&gt;0),"",IF(A284="","Missing date. ",IF(NOT(ISNUMBER(A284)),"Date is not a real date. ",IF(YEAR(A284)&lt;&gt;Settings!$B$4,"Date outside tax year. ",IF(A284&gt;TODAY(),"Date is in the future. ","")))))</f>
        <v/>
      </c>
      <c r="L284" s="15" t="str">
        <f aca="false">IF(NOT(COUNTA($A284:$H284)&gt;0),"",IF(E284="","Missing amount. ",IF(NOT(ISNUMBER(E284)),"Amount is not a number. ",IF(E284&lt;=0,"Amount must be above zero. ",""))))</f>
        <v/>
      </c>
      <c r="M284" s="15" t="str">
        <f aca="false">IF(NOT(COUNTA($A284:$H284)&gt;0),"",IF(D284="","Missing category. ",IF(COUNTIF(Settings!$B$11:$B$40,D284)=0,"Category not in your list. ","")))</f>
        <v/>
      </c>
      <c r="N284" s="15" t="str">
        <f aca="false">IF(AND(ISNUMBER(A284),ISNUMBER(E284),B284&lt;&gt;""),IF(COUNTIFS($A$6:$A$505,A284,$B$6:$B$505,B284,$E$6:$E$505,E284)&gt;1,"Possible duplicate. ",""),"")</f>
        <v/>
      </c>
      <c r="O284" s="15" t="str">
        <f aca="false">IF(AND(ISNUMBER(E284),E284&gt;=Settings!$B$6,G284&lt;&gt;"Yes"),"Receipt not marked as saved. ","")</f>
        <v/>
      </c>
      <c r="P284" s="15" t="str">
        <f aca="false">IF(AND(ISNUMBER(E284),E284&gt;=Settings!$B$5),"Large amount: review. ","")</f>
        <v/>
      </c>
    </row>
    <row r="285" customFormat="false" ht="15" hidden="false" customHeight="false" outlineLevel="0" collapsed="false">
      <c r="A285" s="10"/>
      <c r="B285" s="11"/>
      <c r="C285" s="11"/>
      <c r="D285" s="11"/>
      <c r="E285" s="12"/>
      <c r="F285" s="11"/>
      <c r="G285" s="11"/>
      <c r="H285" s="11"/>
      <c r="I285" s="13" t="str">
        <f aca="false">IF(NOT(COUNTA($A285:$H285)&gt;0),"",IF(K285&amp;L285&amp;M285&lt;&gt;"","ERROR",IF(N285&amp;O285&amp;P285&lt;&gt;"","CHECK","OK")))</f>
        <v/>
      </c>
      <c r="J285" s="14" t="str">
        <f aca="false">TRIM(K285&amp;L285&amp;M285&amp;N285&amp;O285&amp;P285)</f>
        <v/>
      </c>
      <c r="K285" s="15" t="str">
        <f aca="true">IF(NOT(COUNTA($A285:$H285)&gt;0),"",IF(A285="","Missing date. ",IF(NOT(ISNUMBER(A285)),"Date is not a real date. ",IF(YEAR(A285)&lt;&gt;Settings!$B$4,"Date outside tax year. ",IF(A285&gt;TODAY(),"Date is in the future. ","")))))</f>
        <v/>
      </c>
      <c r="L285" s="15" t="str">
        <f aca="false">IF(NOT(COUNTA($A285:$H285)&gt;0),"",IF(E285="","Missing amount. ",IF(NOT(ISNUMBER(E285)),"Amount is not a number. ",IF(E285&lt;=0,"Amount must be above zero. ",""))))</f>
        <v/>
      </c>
      <c r="M285" s="15" t="str">
        <f aca="false">IF(NOT(COUNTA($A285:$H285)&gt;0),"",IF(D285="","Missing category. ",IF(COUNTIF(Settings!$B$11:$B$40,D285)=0,"Category not in your list. ","")))</f>
        <v/>
      </c>
      <c r="N285" s="15" t="str">
        <f aca="false">IF(AND(ISNUMBER(A285),ISNUMBER(E285),B285&lt;&gt;""),IF(COUNTIFS($A$6:$A$505,A285,$B$6:$B$505,B285,$E$6:$E$505,E285)&gt;1,"Possible duplicate. ",""),"")</f>
        <v/>
      </c>
      <c r="O285" s="15" t="str">
        <f aca="false">IF(AND(ISNUMBER(E285),E285&gt;=Settings!$B$6,G285&lt;&gt;"Yes"),"Receipt not marked as saved. ","")</f>
        <v/>
      </c>
      <c r="P285" s="15" t="str">
        <f aca="false">IF(AND(ISNUMBER(E285),E285&gt;=Settings!$B$5),"Large amount: review. ","")</f>
        <v/>
      </c>
    </row>
    <row r="286" customFormat="false" ht="15" hidden="false" customHeight="false" outlineLevel="0" collapsed="false">
      <c r="A286" s="10"/>
      <c r="B286" s="11"/>
      <c r="C286" s="11"/>
      <c r="D286" s="11"/>
      <c r="E286" s="12"/>
      <c r="F286" s="11"/>
      <c r="G286" s="11"/>
      <c r="H286" s="11"/>
      <c r="I286" s="13" t="str">
        <f aca="false">IF(NOT(COUNTA($A286:$H286)&gt;0),"",IF(K286&amp;L286&amp;M286&lt;&gt;"","ERROR",IF(N286&amp;O286&amp;P286&lt;&gt;"","CHECK","OK")))</f>
        <v/>
      </c>
      <c r="J286" s="14" t="str">
        <f aca="false">TRIM(K286&amp;L286&amp;M286&amp;N286&amp;O286&amp;P286)</f>
        <v/>
      </c>
      <c r="K286" s="15" t="str">
        <f aca="true">IF(NOT(COUNTA($A286:$H286)&gt;0),"",IF(A286="","Missing date. ",IF(NOT(ISNUMBER(A286)),"Date is not a real date. ",IF(YEAR(A286)&lt;&gt;Settings!$B$4,"Date outside tax year. ",IF(A286&gt;TODAY(),"Date is in the future. ","")))))</f>
        <v/>
      </c>
      <c r="L286" s="15" t="str">
        <f aca="false">IF(NOT(COUNTA($A286:$H286)&gt;0),"",IF(E286="","Missing amount. ",IF(NOT(ISNUMBER(E286)),"Amount is not a number. ",IF(E286&lt;=0,"Amount must be above zero. ",""))))</f>
        <v/>
      </c>
      <c r="M286" s="15" t="str">
        <f aca="false">IF(NOT(COUNTA($A286:$H286)&gt;0),"",IF(D286="","Missing category. ",IF(COUNTIF(Settings!$B$11:$B$40,D286)=0,"Category not in your list. ","")))</f>
        <v/>
      </c>
      <c r="N286" s="15" t="str">
        <f aca="false">IF(AND(ISNUMBER(A286),ISNUMBER(E286),B286&lt;&gt;""),IF(COUNTIFS($A$6:$A$505,A286,$B$6:$B$505,B286,$E$6:$E$505,E286)&gt;1,"Possible duplicate. ",""),"")</f>
        <v/>
      </c>
      <c r="O286" s="15" t="str">
        <f aca="false">IF(AND(ISNUMBER(E286),E286&gt;=Settings!$B$6,G286&lt;&gt;"Yes"),"Receipt not marked as saved. ","")</f>
        <v/>
      </c>
      <c r="P286" s="15" t="str">
        <f aca="false">IF(AND(ISNUMBER(E286),E286&gt;=Settings!$B$5),"Large amount: review. ","")</f>
        <v/>
      </c>
    </row>
    <row r="287" customFormat="false" ht="15" hidden="false" customHeight="false" outlineLevel="0" collapsed="false">
      <c r="A287" s="10"/>
      <c r="B287" s="11"/>
      <c r="C287" s="11"/>
      <c r="D287" s="11"/>
      <c r="E287" s="12"/>
      <c r="F287" s="11"/>
      <c r="G287" s="11"/>
      <c r="H287" s="11"/>
      <c r="I287" s="13" t="str">
        <f aca="false">IF(NOT(COUNTA($A287:$H287)&gt;0),"",IF(K287&amp;L287&amp;M287&lt;&gt;"","ERROR",IF(N287&amp;O287&amp;P287&lt;&gt;"","CHECK","OK")))</f>
        <v/>
      </c>
      <c r="J287" s="14" t="str">
        <f aca="false">TRIM(K287&amp;L287&amp;M287&amp;N287&amp;O287&amp;P287)</f>
        <v/>
      </c>
      <c r="K287" s="15" t="str">
        <f aca="true">IF(NOT(COUNTA($A287:$H287)&gt;0),"",IF(A287="","Missing date. ",IF(NOT(ISNUMBER(A287)),"Date is not a real date. ",IF(YEAR(A287)&lt;&gt;Settings!$B$4,"Date outside tax year. ",IF(A287&gt;TODAY(),"Date is in the future. ","")))))</f>
        <v/>
      </c>
      <c r="L287" s="15" t="str">
        <f aca="false">IF(NOT(COUNTA($A287:$H287)&gt;0),"",IF(E287="","Missing amount. ",IF(NOT(ISNUMBER(E287)),"Amount is not a number. ",IF(E287&lt;=0,"Amount must be above zero. ",""))))</f>
        <v/>
      </c>
      <c r="M287" s="15" t="str">
        <f aca="false">IF(NOT(COUNTA($A287:$H287)&gt;0),"",IF(D287="","Missing category. ",IF(COUNTIF(Settings!$B$11:$B$40,D287)=0,"Category not in your list. ","")))</f>
        <v/>
      </c>
      <c r="N287" s="15" t="str">
        <f aca="false">IF(AND(ISNUMBER(A287),ISNUMBER(E287),B287&lt;&gt;""),IF(COUNTIFS($A$6:$A$505,A287,$B$6:$B$505,B287,$E$6:$E$505,E287)&gt;1,"Possible duplicate. ",""),"")</f>
        <v/>
      </c>
      <c r="O287" s="15" t="str">
        <f aca="false">IF(AND(ISNUMBER(E287),E287&gt;=Settings!$B$6,G287&lt;&gt;"Yes"),"Receipt not marked as saved. ","")</f>
        <v/>
      </c>
      <c r="P287" s="15" t="str">
        <f aca="false">IF(AND(ISNUMBER(E287),E287&gt;=Settings!$B$5),"Large amount: review. ","")</f>
        <v/>
      </c>
    </row>
    <row r="288" customFormat="false" ht="15" hidden="false" customHeight="false" outlineLevel="0" collapsed="false">
      <c r="A288" s="10"/>
      <c r="B288" s="11"/>
      <c r="C288" s="11"/>
      <c r="D288" s="11"/>
      <c r="E288" s="12"/>
      <c r="F288" s="11"/>
      <c r="G288" s="11"/>
      <c r="H288" s="11"/>
      <c r="I288" s="13" t="str">
        <f aca="false">IF(NOT(COUNTA($A288:$H288)&gt;0),"",IF(K288&amp;L288&amp;M288&lt;&gt;"","ERROR",IF(N288&amp;O288&amp;P288&lt;&gt;"","CHECK","OK")))</f>
        <v/>
      </c>
      <c r="J288" s="14" t="str">
        <f aca="false">TRIM(K288&amp;L288&amp;M288&amp;N288&amp;O288&amp;P288)</f>
        <v/>
      </c>
      <c r="K288" s="15" t="str">
        <f aca="true">IF(NOT(COUNTA($A288:$H288)&gt;0),"",IF(A288="","Missing date. ",IF(NOT(ISNUMBER(A288)),"Date is not a real date. ",IF(YEAR(A288)&lt;&gt;Settings!$B$4,"Date outside tax year. ",IF(A288&gt;TODAY(),"Date is in the future. ","")))))</f>
        <v/>
      </c>
      <c r="L288" s="15" t="str">
        <f aca="false">IF(NOT(COUNTA($A288:$H288)&gt;0),"",IF(E288="","Missing amount. ",IF(NOT(ISNUMBER(E288)),"Amount is not a number. ",IF(E288&lt;=0,"Amount must be above zero. ",""))))</f>
        <v/>
      </c>
      <c r="M288" s="15" t="str">
        <f aca="false">IF(NOT(COUNTA($A288:$H288)&gt;0),"",IF(D288="","Missing category. ",IF(COUNTIF(Settings!$B$11:$B$40,D288)=0,"Category not in your list. ","")))</f>
        <v/>
      </c>
      <c r="N288" s="15" t="str">
        <f aca="false">IF(AND(ISNUMBER(A288),ISNUMBER(E288),B288&lt;&gt;""),IF(COUNTIFS($A$6:$A$505,A288,$B$6:$B$505,B288,$E$6:$E$505,E288)&gt;1,"Possible duplicate. ",""),"")</f>
        <v/>
      </c>
      <c r="O288" s="15" t="str">
        <f aca="false">IF(AND(ISNUMBER(E288),E288&gt;=Settings!$B$6,G288&lt;&gt;"Yes"),"Receipt not marked as saved. ","")</f>
        <v/>
      </c>
      <c r="P288" s="15" t="str">
        <f aca="false">IF(AND(ISNUMBER(E288),E288&gt;=Settings!$B$5),"Large amount: review. ","")</f>
        <v/>
      </c>
    </row>
    <row r="289" customFormat="false" ht="15" hidden="false" customHeight="false" outlineLevel="0" collapsed="false">
      <c r="A289" s="10"/>
      <c r="B289" s="11"/>
      <c r="C289" s="11"/>
      <c r="D289" s="11"/>
      <c r="E289" s="12"/>
      <c r="F289" s="11"/>
      <c r="G289" s="11"/>
      <c r="H289" s="11"/>
      <c r="I289" s="13" t="str">
        <f aca="false">IF(NOT(COUNTA($A289:$H289)&gt;0),"",IF(K289&amp;L289&amp;M289&lt;&gt;"","ERROR",IF(N289&amp;O289&amp;P289&lt;&gt;"","CHECK","OK")))</f>
        <v/>
      </c>
      <c r="J289" s="14" t="str">
        <f aca="false">TRIM(K289&amp;L289&amp;M289&amp;N289&amp;O289&amp;P289)</f>
        <v/>
      </c>
      <c r="K289" s="15" t="str">
        <f aca="true">IF(NOT(COUNTA($A289:$H289)&gt;0),"",IF(A289="","Missing date. ",IF(NOT(ISNUMBER(A289)),"Date is not a real date. ",IF(YEAR(A289)&lt;&gt;Settings!$B$4,"Date outside tax year. ",IF(A289&gt;TODAY(),"Date is in the future. ","")))))</f>
        <v/>
      </c>
      <c r="L289" s="15" t="str">
        <f aca="false">IF(NOT(COUNTA($A289:$H289)&gt;0),"",IF(E289="","Missing amount. ",IF(NOT(ISNUMBER(E289)),"Amount is not a number. ",IF(E289&lt;=0,"Amount must be above zero. ",""))))</f>
        <v/>
      </c>
      <c r="M289" s="15" t="str">
        <f aca="false">IF(NOT(COUNTA($A289:$H289)&gt;0),"",IF(D289="","Missing category. ",IF(COUNTIF(Settings!$B$11:$B$40,D289)=0,"Category not in your list. ","")))</f>
        <v/>
      </c>
      <c r="N289" s="15" t="str">
        <f aca="false">IF(AND(ISNUMBER(A289),ISNUMBER(E289),B289&lt;&gt;""),IF(COUNTIFS($A$6:$A$505,A289,$B$6:$B$505,B289,$E$6:$E$505,E289)&gt;1,"Possible duplicate. ",""),"")</f>
        <v/>
      </c>
      <c r="O289" s="15" t="str">
        <f aca="false">IF(AND(ISNUMBER(E289),E289&gt;=Settings!$B$6,G289&lt;&gt;"Yes"),"Receipt not marked as saved. ","")</f>
        <v/>
      </c>
      <c r="P289" s="15" t="str">
        <f aca="false">IF(AND(ISNUMBER(E289),E289&gt;=Settings!$B$5),"Large amount: review. ","")</f>
        <v/>
      </c>
    </row>
    <row r="290" customFormat="false" ht="15" hidden="false" customHeight="false" outlineLevel="0" collapsed="false">
      <c r="A290" s="10"/>
      <c r="B290" s="11"/>
      <c r="C290" s="11"/>
      <c r="D290" s="11"/>
      <c r="E290" s="12"/>
      <c r="F290" s="11"/>
      <c r="G290" s="11"/>
      <c r="H290" s="11"/>
      <c r="I290" s="13" t="str">
        <f aca="false">IF(NOT(COUNTA($A290:$H290)&gt;0),"",IF(K290&amp;L290&amp;M290&lt;&gt;"","ERROR",IF(N290&amp;O290&amp;P290&lt;&gt;"","CHECK","OK")))</f>
        <v/>
      </c>
      <c r="J290" s="14" t="str">
        <f aca="false">TRIM(K290&amp;L290&amp;M290&amp;N290&amp;O290&amp;P290)</f>
        <v/>
      </c>
      <c r="K290" s="15" t="str">
        <f aca="true">IF(NOT(COUNTA($A290:$H290)&gt;0),"",IF(A290="","Missing date. ",IF(NOT(ISNUMBER(A290)),"Date is not a real date. ",IF(YEAR(A290)&lt;&gt;Settings!$B$4,"Date outside tax year. ",IF(A290&gt;TODAY(),"Date is in the future. ","")))))</f>
        <v/>
      </c>
      <c r="L290" s="15" t="str">
        <f aca="false">IF(NOT(COUNTA($A290:$H290)&gt;0),"",IF(E290="","Missing amount. ",IF(NOT(ISNUMBER(E290)),"Amount is not a number. ",IF(E290&lt;=0,"Amount must be above zero. ",""))))</f>
        <v/>
      </c>
      <c r="M290" s="15" t="str">
        <f aca="false">IF(NOT(COUNTA($A290:$H290)&gt;0),"",IF(D290="","Missing category. ",IF(COUNTIF(Settings!$B$11:$B$40,D290)=0,"Category not in your list. ","")))</f>
        <v/>
      </c>
      <c r="N290" s="15" t="str">
        <f aca="false">IF(AND(ISNUMBER(A290),ISNUMBER(E290),B290&lt;&gt;""),IF(COUNTIFS($A$6:$A$505,A290,$B$6:$B$505,B290,$E$6:$E$505,E290)&gt;1,"Possible duplicate. ",""),"")</f>
        <v/>
      </c>
      <c r="O290" s="15" t="str">
        <f aca="false">IF(AND(ISNUMBER(E290),E290&gt;=Settings!$B$6,G290&lt;&gt;"Yes"),"Receipt not marked as saved. ","")</f>
        <v/>
      </c>
      <c r="P290" s="15" t="str">
        <f aca="false">IF(AND(ISNUMBER(E290),E290&gt;=Settings!$B$5),"Large amount: review. ","")</f>
        <v/>
      </c>
    </row>
    <row r="291" customFormat="false" ht="15" hidden="false" customHeight="false" outlineLevel="0" collapsed="false">
      <c r="A291" s="10"/>
      <c r="B291" s="11"/>
      <c r="C291" s="11"/>
      <c r="D291" s="11"/>
      <c r="E291" s="12"/>
      <c r="F291" s="11"/>
      <c r="G291" s="11"/>
      <c r="H291" s="11"/>
      <c r="I291" s="13" t="str">
        <f aca="false">IF(NOT(COUNTA($A291:$H291)&gt;0),"",IF(K291&amp;L291&amp;M291&lt;&gt;"","ERROR",IF(N291&amp;O291&amp;P291&lt;&gt;"","CHECK","OK")))</f>
        <v/>
      </c>
      <c r="J291" s="14" t="str">
        <f aca="false">TRIM(K291&amp;L291&amp;M291&amp;N291&amp;O291&amp;P291)</f>
        <v/>
      </c>
      <c r="K291" s="15" t="str">
        <f aca="true">IF(NOT(COUNTA($A291:$H291)&gt;0),"",IF(A291="","Missing date. ",IF(NOT(ISNUMBER(A291)),"Date is not a real date. ",IF(YEAR(A291)&lt;&gt;Settings!$B$4,"Date outside tax year. ",IF(A291&gt;TODAY(),"Date is in the future. ","")))))</f>
        <v/>
      </c>
      <c r="L291" s="15" t="str">
        <f aca="false">IF(NOT(COUNTA($A291:$H291)&gt;0),"",IF(E291="","Missing amount. ",IF(NOT(ISNUMBER(E291)),"Amount is not a number. ",IF(E291&lt;=0,"Amount must be above zero. ",""))))</f>
        <v/>
      </c>
      <c r="M291" s="15" t="str">
        <f aca="false">IF(NOT(COUNTA($A291:$H291)&gt;0),"",IF(D291="","Missing category. ",IF(COUNTIF(Settings!$B$11:$B$40,D291)=0,"Category not in your list. ","")))</f>
        <v/>
      </c>
      <c r="N291" s="15" t="str">
        <f aca="false">IF(AND(ISNUMBER(A291),ISNUMBER(E291),B291&lt;&gt;""),IF(COUNTIFS($A$6:$A$505,A291,$B$6:$B$505,B291,$E$6:$E$505,E291)&gt;1,"Possible duplicate. ",""),"")</f>
        <v/>
      </c>
      <c r="O291" s="15" t="str">
        <f aca="false">IF(AND(ISNUMBER(E291),E291&gt;=Settings!$B$6,G291&lt;&gt;"Yes"),"Receipt not marked as saved. ","")</f>
        <v/>
      </c>
      <c r="P291" s="15" t="str">
        <f aca="false">IF(AND(ISNUMBER(E291),E291&gt;=Settings!$B$5),"Large amount: review. ","")</f>
        <v/>
      </c>
    </row>
    <row r="292" customFormat="false" ht="15" hidden="false" customHeight="false" outlineLevel="0" collapsed="false">
      <c r="A292" s="10"/>
      <c r="B292" s="11"/>
      <c r="C292" s="11"/>
      <c r="D292" s="11"/>
      <c r="E292" s="12"/>
      <c r="F292" s="11"/>
      <c r="G292" s="11"/>
      <c r="H292" s="11"/>
      <c r="I292" s="13" t="str">
        <f aca="false">IF(NOT(COUNTA($A292:$H292)&gt;0),"",IF(K292&amp;L292&amp;M292&lt;&gt;"","ERROR",IF(N292&amp;O292&amp;P292&lt;&gt;"","CHECK","OK")))</f>
        <v/>
      </c>
      <c r="J292" s="14" t="str">
        <f aca="false">TRIM(K292&amp;L292&amp;M292&amp;N292&amp;O292&amp;P292)</f>
        <v/>
      </c>
      <c r="K292" s="15" t="str">
        <f aca="true">IF(NOT(COUNTA($A292:$H292)&gt;0),"",IF(A292="","Missing date. ",IF(NOT(ISNUMBER(A292)),"Date is not a real date. ",IF(YEAR(A292)&lt;&gt;Settings!$B$4,"Date outside tax year. ",IF(A292&gt;TODAY(),"Date is in the future. ","")))))</f>
        <v/>
      </c>
      <c r="L292" s="15" t="str">
        <f aca="false">IF(NOT(COUNTA($A292:$H292)&gt;0),"",IF(E292="","Missing amount. ",IF(NOT(ISNUMBER(E292)),"Amount is not a number. ",IF(E292&lt;=0,"Amount must be above zero. ",""))))</f>
        <v/>
      </c>
      <c r="M292" s="15" t="str">
        <f aca="false">IF(NOT(COUNTA($A292:$H292)&gt;0),"",IF(D292="","Missing category. ",IF(COUNTIF(Settings!$B$11:$B$40,D292)=0,"Category not in your list. ","")))</f>
        <v/>
      </c>
      <c r="N292" s="15" t="str">
        <f aca="false">IF(AND(ISNUMBER(A292),ISNUMBER(E292),B292&lt;&gt;""),IF(COUNTIFS($A$6:$A$505,A292,$B$6:$B$505,B292,$E$6:$E$505,E292)&gt;1,"Possible duplicate. ",""),"")</f>
        <v/>
      </c>
      <c r="O292" s="15" t="str">
        <f aca="false">IF(AND(ISNUMBER(E292),E292&gt;=Settings!$B$6,G292&lt;&gt;"Yes"),"Receipt not marked as saved. ","")</f>
        <v/>
      </c>
      <c r="P292" s="15" t="str">
        <f aca="false">IF(AND(ISNUMBER(E292),E292&gt;=Settings!$B$5),"Large amount: review. ","")</f>
        <v/>
      </c>
    </row>
    <row r="293" customFormat="false" ht="15" hidden="false" customHeight="false" outlineLevel="0" collapsed="false">
      <c r="A293" s="10"/>
      <c r="B293" s="11"/>
      <c r="C293" s="11"/>
      <c r="D293" s="11"/>
      <c r="E293" s="12"/>
      <c r="F293" s="11"/>
      <c r="G293" s="11"/>
      <c r="H293" s="11"/>
      <c r="I293" s="13" t="str">
        <f aca="false">IF(NOT(COUNTA($A293:$H293)&gt;0),"",IF(K293&amp;L293&amp;M293&lt;&gt;"","ERROR",IF(N293&amp;O293&amp;P293&lt;&gt;"","CHECK","OK")))</f>
        <v/>
      </c>
      <c r="J293" s="14" t="str">
        <f aca="false">TRIM(K293&amp;L293&amp;M293&amp;N293&amp;O293&amp;P293)</f>
        <v/>
      </c>
      <c r="K293" s="15" t="str">
        <f aca="true">IF(NOT(COUNTA($A293:$H293)&gt;0),"",IF(A293="","Missing date. ",IF(NOT(ISNUMBER(A293)),"Date is not a real date. ",IF(YEAR(A293)&lt;&gt;Settings!$B$4,"Date outside tax year. ",IF(A293&gt;TODAY(),"Date is in the future. ","")))))</f>
        <v/>
      </c>
      <c r="L293" s="15" t="str">
        <f aca="false">IF(NOT(COUNTA($A293:$H293)&gt;0),"",IF(E293="","Missing amount. ",IF(NOT(ISNUMBER(E293)),"Amount is not a number. ",IF(E293&lt;=0,"Amount must be above zero. ",""))))</f>
        <v/>
      </c>
      <c r="M293" s="15" t="str">
        <f aca="false">IF(NOT(COUNTA($A293:$H293)&gt;0),"",IF(D293="","Missing category. ",IF(COUNTIF(Settings!$B$11:$B$40,D293)=0,"Category not in your list. ","")))</f>
        <v/>
      </c>
      <c r="N293" s="15" t="str">
        <f aca="false">IF(AND(ISNUMBER(A293),ISNUMBER(E293),B293&lt;&gt;""),IF(COUNTIFS($A$6:$A$505,A293,$B$6:$B$505,B293,$E$6:$E$505,E293)&gt;1,"Possible duplicate. ",""),"")</f>
        <v/>
      </c>
      <c r="O293" s="15" t="str">
        <f aca="false">IF(AND(ISNUMBER(E293),E293&gt;=Settings!$B$6,G293&lt;&gt;"Yes"),"Receipt not marked as saved. ","")</f>
        <v/>
      </c>
      <c r="P293" s="15" t="str">
        <f aca="false">IF(AND(ISNUMBER(E293),E293&gt;=Settings!$B$5),"Large amount: review. ","")</f>
        <v/>
      </c>
    </row>
    <row r="294" customFormat="false" ht="15" hidden="false" customHeight="false" outlineLevel="0" collapsed="false">
      <c r="A294" s="10"/>
      <c r="B294" s="11"/>
      <c r="C294" s="11"/>
      <c r="D294" s="11"/>
      <c r="E294" s="12"/>
      <c r="F294" s="11"/>
      <c r="G294" s="11"/>
      <c r="H294" s="11"/>
      <c r="I294" s="13" t="str">
        <f aca="false">IF(NOT(COUNTA($A294:$H294)&gt;0),"",IF(K294&amp;L294&amp;M294&lt;&gt;"","ERROR",IF(N294&amp;O294&amp;P294&lt;&gt;"","CHECK","OK")))</f>
        <v/>
      </c>
      <c r="J294" s="14" t="str">
        <f aca="false">TRIM(K294&amp;L294&amp;M294&amp;N294&amp;O294&amp;P294)</f>
        <v/>
      </c>
      <c r="K294" s="15" t="str">
        <f aca="true">IF(NOT(COUNTA($A294:$H294)&gt;0),"",IF(A294="","Missing date. ",IF(NOT(ISNUMBER(A294)),"Date is not a real date. ",IF(YEAR(A294)&lt;&gt;Settings!$B$4,"Date outside tax year. ",IF(A294&gt;TODAY(),"Date is in the future. ","")))))</f>
        <v/>
      </c>
      <c r="L294" s="15" t="str">
        <f aca="false">IF(NOT(COUNTA($A294:$H294)&gt;0),"",IF(E294="","Missing amount. ",IF(NOT(ISNUMBER(E294)),"Amount is not a number. ",IF(E294&lt;=0,"Amount must be above zero. ",""))))</f>
        <v/>
      </c>
      <c r="M294" s="15" t="str">
        <f aca="false">IF(NOT(COUNTA($A294:$H294)&gt;0),"",IF(D294="","Missing category. ",IF(COUNTIF(Settings!$B$11:$B$40,D294)=0,"Category not in your list. ","")))</f>
        <v/>
      </c>
      <c r="N294" s="15" t="str">
        <f aca="false">IF(AND(ISNUMBER(A294),ISNUMBER(E294),B294&lt;&gt;""),IF(COUNTIFS($A$6:$A$505,A294,$B$6:$B$505,B294,$E$6:$E$505,E294)&gt;1,"Possible duplicate. ",""),"")</f>
        <v/>
      </c>
      <c r="O294" s="15" t="str">
        <f aca="false">IF(AND(ISNUMBER(E294),E294&gt;=Settings!$B$6,G294&lt;&gt;"Yes"),"Receipt not marked as saved. ","")</f>
        <v/>
      </c>
      <c r="P294" s="15" t="str">
        <f aca="false">IF(AND(ISNUMBER(E294),E294&gt;=Settings!$B$5),"Large amount: review. ","")</f>
        <v/>
      </c>
    </row>
    <row r="295" customFormat="false" ht="15" hidden="false" customHeight="false" outlineLevel="0" collapsed="false">
      <c r="A295" s="10"/>
      <c r="B295" s="11"/>
      <c r="C295" s="11"/>
      <c r="D295" s="11"/>
      <c r="E295" s="12"/>
      <c r="F295" s="11"/>
      <c r="G295" s="11"/>
      <c r="H295" s="11"/>
      <c r="I295" s="13" t="str">
        <f aca="false">IF(NOT(COUNTA($A295:$H295)&gt;0),"",IF(K295&amp;L295&amp;M295&lt;&gt;"","ERROR",IF(N295&amp;O295&amp;P295&lt;&gt;"","CHECK","OK")))</f>
        <v/>
      </c>
      <c r="J295" s="14" t="str">
        <f aca="false">TRIM(K295&amp;L295&amp;M295&amp;N295&amp;O295&amp;P295)</f>
        <v/>
      </c>
      <c r="K295" s="15" t="str">
        <f aca="true">IF(NOT(COUNTA($A295:$H295)&gt;0),"",IF(A295="","Missing date. ",IF(NOT(ISNUMBER(A295)),"Date is not a real date. ",IF(YEAR(A295)&lt;&gt;Settings!$B$4,"Date outside tax year. ",IF(A295&gt;TODAY(),"Date is in the future. ","")))))</f>
        <v/>
      </c>
      <c r="L295" s="15" t="str">
        <f aca="false">IF(NOT(COUNTA($A295:$H295)&gt;0),"",IF(E295="","Missing amount. ",IF(NOT(ISNUMBER(E295)),"Amount is not a number. ",IF(E295&lt;=0,"Amount must be above zero. ",""))))</f>
        <v/>
      </c>
      <c r="M295" s="15" t="str">
        <f aca="false">IF(NOT(COUNTA($A295:$H295)&gt;0),"",IF(D295="","Missing category. ",IF(COUNTIF(Settings!$B$11:$B$40,D295)=0,"Category not in your list. ","")))</f>
        <v/>
      </c>
      <c r="N295" s="15" t="str">
        <f aca="false">IF(AND(ISNUMBER(A295),ISNUMBER(E295),B295&lt;&gt;""),IF(COUNTIFS($A$6:$A$505,A295,$B$6:$B$505,B295,$E$6:$E$505,E295)&gt;1,"Possible duplicate. ",""),"")</f>
        <v/>
      </c>
      <c r="O295" s="15" t="str">
        <f aca="false">IF(AND(ISNUMBER(E295),E295&gt;=Settings!$B$6,G295&lt;&gt;"Yes"),"Receipt not marked as saved. ","")</f>
        <v/>
      </c>
      <c r="P295" s="15" t="str">
        <f aca="false">IF(AND(ISNUMBER(E295),E295&gt;=Settings!$B$5),"Large amount: review. ","")</f>
        <v/>
      </c>
    </row>
    <row r="296" customFormat="false" ht="15" hidden="false" customHeight="false" outlineLevel="0" collapsed="false">
      <c r="A296" s="10"/>
      <c r="B296" s="11"/>
      <c r="C296" s="11"/>
      <c r="D296" s="11"/>
      <c r="E296" s="12"/>
      <c r="F296" s="11"/>
      <c r="G296" s="11"/>
      <c r="H296" s="11"/>
      <c r="I296" s="13" t="str">
        <f aca="false">IF(NOT(COUNTA($A296:$H296)&gt;0),"",IF(K296&amp;L296&amp;M296&lt;&gt;"","ERROR",IF(N296&amp;O296&amp;P296&lt;&gt;"","CHECK","OK")))</f>
        <v/>
      </c>
      <c r="J296" s="14" t="str">
        <f aca="false">TRIM(K296&amp;L296&amp;M296&amp;N296&amp;O296&amp;P296)</f>
        <v/>
      </c>
      <c r="K296" s="15" t="str">
        <f aca="true">IF(NOT(COUNTA($A296:$H296)&gt;0),"",IF(A296="","Missing date. ",IF(NOT(ISNUMBER(A296)),"Date is not a real date. ",IF(YEAR(A296)&lt;&gt;Settings!$B$4,"Date outside tax year. ",IF(A296&gt;TODAY(),"Date is in the future. ","")))))</f>
        <v/>
      </c>
      <c r="L296" s="15" t="str">
        <f aca="false">IF(NOT(COUNTA($A296:$H296)&gt;0),"",IF(E296="","Missing amount. ",IF(NOT(ISNUMBER(E296)),"Amount is not a number. ",IF(E296&lt;=0,"Amount must be above zero. ",""))))</f>
        <v/>
      </c>
      <c r="M296" s="15" t="str">
        <f aca="false">IF(NOT(COUNTA($A296:$H296)&gt;0),"",IF(D296="","Missing category. ",IF(COUNTIF(Settings!$B$11:$B$40,D296)=0,"Category not in your list. ","")))</f>
        <v/>
      </c>
      <c r="N296" s="15" t="str">
        <f aca="false">IF(AND(ISNUMBER(A296),ISNUMBER(E296),B296&lt;&gt;""),IF(COUNTIFS($A$6:$A$505,A296,$B$6:$B$505,B296,$E$6:$E$505,E296)&gt;1,"Possible duplicate. ",""),"")</f>
        <v/>
      </c>
      <c r="O296" s="15" t="str">
        <f aca="false">IF(AND(ISNUMBER(E296),E296&gt;=Settings!$B$6,G296&lt;&gt;"Yes"),"Receipt not marked as saved. ","")</f>
        <v/>
      </c>
      <c r="P296" s="15" t="str">
        <f aca="false">IF(AND(ISNUMBER(E296),E296&gt;=Settings!$B$5),"Large amount: review. ","")</f>
        <v/>
      </c>
    </row>
    <row r="297" customFormat="false" ht="15" hidden="false" customHeight="false" outlineLevel="0" collapsed="false">
      <c r="A297" s="10"/>
      <c r="B297" s="11"/>
      <c r="C297" s="11"/>
      <c r="D297" s="11"/>
      <c r="E297" s="12"/>
      <c r="F297" s="11"/>
      <c r="G297" s="11"/>
      <c r="H297" s="11"/>
      <c r="I297" s="13" t="str">
        <f aca="false">IF(NOT(COUNTA($A297:$H297)&gt;0),"",IF(K297&amp;L297&amp;M297&lt;&gt;"","ERROR",IF(N297&amp;O297&amp;P297&lt;&gt;"","CHECK","OK")))</f>
        <v/>
      </c>
      <c r="J297" s="14" t="str">
        <f aca="false">TRIM(K297&amp;L297&amp;M297&amp;N297&amp;O297&amp;P297)</f>
        <v/>
      </c>
      <c r="K297" s="15" t="str">
        <f aca="true">IF(NOT(COUNTA($A297:$H297)&gt;0),"",IF(A297="","Missing date. ",IF(NOT(ISNUMBER(A297)),"Date is not a real date. ",IF(YEAR(A297)&lt;&gt;Settings!$B$4,"Date outside tax year. ",IF(A297&gt;TODAY(),"Date is in the future. ","")))))</f>
        <v/>
      </c>
      <c r="L297" s="15" t="str">
        <f aca="false">IF(NOT(COUNTA($A297:$H297)&gt;0),"",IF(E297="","Missing amount. ",IF(NOT(ISNUMBER(E297)),"Amount is not a number. ",IF(E297&lt;=0,"Amount must be above zero. ",""))))</f>
        <v/>
      </c>
      <c r="M297" s="15" t="str">
        <f aca="false">IF(NOT(COUNTA($A297:$H297)&gt;0),"",IF(D297="","Missing category. ",IF(COUNTIF(Settings!$B$11:$B$40,D297)=0,"Category not in your list. ","")))</f>
        <v/>
      </c>
      <c r="N297" s="15" t="str">
        <f aca="false">IF(AND(ISNUMBER(A297),ISNUMBER(E297),B297&lt;&gt;""),IF(COUNTIFS($A$6:$A$505,A297,$B$6:$B$505,B297,$E$6:$E$505,E297)&gt;1,"Possible duplicate. ",""),"")</f>
        <v/>
      </c>
      <c r="O297" s="15" t="str">
        <f aca="false">IF(AND(ISNUMBER(E297),E297&gt;=Settings!$B$6,G297&lt;&gt;"Yes"),"Receipt not marked as saved. ","")</f>
        <v/>
      </c>
      <c r="P297" s="15" t="str">
        <f aca="false">IF(AND(ISNUMBER(E297),E297&gt;=Settings!$B$5),"Large amount: review. ","")</f>
        <v/>
      </c>
    </row>
    <row r="298" customFormat="false" ht="15" hidden="false" customHeight="false" outlineLevel="0" collapsed="false">
      <c r="A298" s="10"/>
      <c r="B298" s="11"/>
      <c r="C298" s="11"/>
      <c r="D298" s="11"/>
      <c r="E298" s="12"/>
      <c r="F298" s="11"/>
      <c r="G298" s="11"/>
      <c r="H298" s="11"/>
      <c r="I298" s="13" t="str">
        <f aca="false">IF(NOT(COUNTA($A298:$H298)&gt;0),"",IF(K298&amp;L298&amp;M298&lt;&gt;"","ERROR",IF(N298&amp;O298&amp;P298&lt;&gt;"","CHECK","OK")))</f>
        <v/>
      </c>
      <c r="J298" s="14" t="str">
        <f aca="false">TRIM(K298&amp;L298&amp;M298&amp;N298&amp;O298&amp;P298)</f>
        <v/>
      </c>
      <c r="K298" s="15" t="str">
        <f aca="true">IF(NOT(COUNTA($A298:$H298)&gt;0),"",IF(A298="","Missing date. ",IF(NOT(ISNUMBER(A298)),"Date is not a real date. ",IF(YEAR(A298)&lt;&gt;Settings!$B$4,"Date outside tax year. ",IF(A298&gt;TODAY(),"Date is in the future. ","")))))</f>
        <v/>
      </c>
      <c r="L298" s="15" t="str">
        <f aca="false">IF(NOT(COUNTA($A298:$H298)&gt;0),"",IF(E298="","Missing amount. ",IF(NOT(ISNUMBER(E298)),"Amount is not a number. ",IF(E298&lt;=0,"Amount must be above zero. ",""))))</f>
        <v/>
      </c>
      <c r="M298" s="15" t="str">
        <f aca="false">IF(NOT(COUNTA($A298:$H298)&gt;0),"",IF(D298="","Missing category. ",IF(COUNTIF(Settings!$B$11:$B$40,D298)=0,"Category not in your list. ","")))</f>
        <v/>
      </c>
      <c r="N298" s="15" t="str">
        <f aca="false">IF(AND(ISNUMBER(A298),ISNUMBER(E298),B298&lt;&gt;""),IF(COUNTIFS($A$6:$A$505,A298,$B$6:$B$505,B298,$E$6:$E$505,E298)&gt;1,"Possible duplicate. ",""),"")</f>
        <v/>
      </c>
      <c r="O298" s="15" t="str">
        <f aca="false">IF(AND(ISNUMBER(E298),E298&gt;=Settings!$B$6,G298&lt;&gt;"Yes"),"Receipt not marked as saved. ","")</f>
        <v/>
      </c>
      <c r="P298" s="15" t="str">
        <f aca="false">IF(AND(ISNUMBER(E298),E298&gt;=Settings!$B$5),"Large amount: review. ","")</f>
        <v/>
      </c>
    </row>
    <row r="299" customFormat="false" ht="15" hidden="false" customHeight="false" outlineLevel="0" collapsed="false">
      <c r="A299" s="10"/>
      <c r="B299" s="11"/>
      <c r="C299" s="11"/>
      <c r="D299" s="11"/>
      <c r="E299" s="12"/>
      <c r="F299" s="11"/>
      <c r="G299" s="11"/>
      <c r="H299" s="11"/>
      <c r="I299" s="13" t="str">
        <f aca="false">IF(NOT(COUNTA($A299:$H299)&gt;0),"",IF(K299&amp;L299&amp;M299&lt;&gt;"","ERROR",IF(N299&amp;O299&amp;P299&lt;&gt;"","CHECK","OK")))</f>
        <v/>
      </c>
      <c r="J299" s="14" t="str">
        <f aca="false">TRIM(K299&amp;L299&amp;M299&amp;N299&amp;O299&amp;P299)</f>
        <v/>
      </c>
      <c r="K299" s="15" t="str">
        <f aca="true">IF(NOT(COUNTA($A299:$H299)&gt;0),"",IF(A299="","Missing date. ",IF(NOT(ISNUMBER(A299)),"Date is not a real date. ",IF(YEAR(A299)&lt;&gt;Settings!$B$4,"Date outside tax year. ",IF(A299&gt;TODAY(),"Date is in the future. ","")))))</f>
        <v/>
      </c>
      <c r="L299" s="15" t="str">
        <f aca="false">IF(NOT(COUNTA($A299:$H299)&gt;0),"",IF(E299="","Missing amount. ",IF(NOT(ISNUMBER(E299)),"Amount is not a number. ",IF(E299&lt;=0,"Amount must be above zero. ",""))))</f>
        <v/>
      </c>
      <c r="M299" s="15" t="str">
        <f aca="false">IF(NOT(COUNTA($A299:$H299)&gt;0),"",IF(D299="","Missing category. ",IF(COUNTIF(Settings!$B$11:$B$40,D299)=0,"Category not in your list. ","")))</f>
        <v/>
      </c>
      <c r="N299" s="15" t="str">
        <f aca="false">IF(AND(ISNUMBER(A299),ISNUMBER(E299),B299&lt;&gt;""),IF(COUNTIFS($A$6:$A$505,A299,$B$6:$B$505,B299,$E$6:$E$505,E299)&gt;1,"Possible duplicate. ",""),"")</f>
        <v/>
      </c>
      <c r="O299" s="15" t="str">
        <f aca="false">IF(AND(ISNUMBER(E299),E299&gt;=Settings!$B$6,G299&lt;&gt;"Yes"),"Receipt not marked as saved. ","")</f>
        <v/>
      </c>
      <c r="P299" s="15" t="str">
        <f aca="false">IF(AND(ISNUMBER(E299),E299&gt;=Settings!$B$5),"Large amount: review. ","")</f>
        <v/>
      </c>
    </row>
    <row r="300" customFormat="false" ht="15" hidden="false" customHeight="false" outlineLevel="0" collapsed="false">
      <c r="A300" s="10"/>
      <c r="B300" s="11"/>
      <c r="C300" s="11"/>
      <c r="D300" s="11"/>
      <c r="E300" s="12"/>
      <c r="F300" s="11"/>
      <c r="G300" s="11"/>
      <c r="H300" s="11"/>
      <c r="I300" s="13" t="str">
        <f aca="false">IF(NOT(COUNTA($A300:$H300)&gt;0),"",IF(K300&amp;L300&amp;M300&lt;&gt;"","ERROR",IF(N300&amp;O300&amp;P300&lt;&gt;"","CHECK","OK")))</f>
        <v/>
      </c>
      <c r="J300" s="14" t="str">
        <f aca="false">TRIM(K300&amp;L300&amp;M300&amp;N300&amp;O300&amp;P300)</f>
        <v/>
      </c>
      <c r="K300" s="15" t="str">
        <f aca="true">IF(NOT(COUNTA($A300:$H300)&gt;0),"",IF(A300="","Missing date. ",IF(NOT(ISNUMBER(A300)),"Date is not a real date. ",IF(YEAR(A300)&lt;&gt;Settings!$B$4,"Date outside tax year. ",IF(A300&gt;TODAY(),"Date is in the future. ","")))))</f>
        <v/>
      </c>
      <c r="L300" s="15" t="str">
        <f aca="false">IF(NOT(COUNTA($A300:$H300)&gt;0),"",IF(E300="","Missing amount. ",IF(NOT(ISNUMBER(E300)),"Amount is not a number. ",IF(E300&lt;=0,"Amount must be above zero. ",""))))</f>
        <v/>
      </c>
      <c r="M300" s="15" t="str">
        <f aca="false">IF(NOT(COUNTA($A300:$H300)&gt;0),"",IF(D300="","Missing category. ",IF(COUNTIF(Settings!$B$11:$B$40,D300)=0,"Category not in your list. ","")))</f>
        <v/>
      </c>
      <c r="N300" s="15" t="str">
        <f aca="false">IF(AND(ISNUMBER(A300),ISNUMBER(E300),B300&lt;&gt;""),IF(COUNTIFS($A$6:$A$505,A300,$B$6:$B$505,B300,$E$6:$E$505,E300)&gt;1,"Possible duplicate. ",""),"")</f>
        <v/>
      </c>
      <c r="O300" s="15" t="str">
        <f aca="false">IF(AND(ISNUMBER(E300),E300&gt;=Settings!$B$6,G300&lt;&gt;"Yes"),"Receipt not marked as saved. ","")</f>
        <v/>
      </c>
      <c r="P300" s="15" t="str">
        <f aca="false">IF(AND(ISNUMBER(E300),E300&gt;=Settings!$B$5),"Large amount: review. ","")</f>
        <v/>
      </c>
    </row>
    <row r="301" customFormat="false" ht="15" hidden="false" customHeight="false" outlineLevel="0" collapsed="false">
      <c r="A301" s="10"/>
      <c r="B301" s="11"/>
      <c r="C301" s="11"/>
      <c r="D301" s="11"/>
      <c r="E301" s="12"/>
      <c r="F301" s="11"/>
      <c r="G301" s="11"/>
      <c r="H301" s="11"/>
      <c r="I301" s="13" t="str">
        <f aca="false">IF(NOT(COUNTA($A301:$H301)&gt;0),"",IF(K301&amp;L301&amp;M301&lt;&gt;"","ERROR",IF(N301&amp;O301&amp;P301&lt;&gt;"","CHECK","OK")))</f>
        <v/>
      </c>
      <c r="J301" s="14" t="str">
        <f aca="false">TRIM(K301&amp;L301&amp;M301&amp;N301&amp;O301&amp;P301)</f>
        <v/>
      </c>
      <c r="K301" s="15" t="str">
        <f aca="true">IF(NOT(COUNTA($A301:$H301)&gt;0),"",IF(A301="","Missing date. ",IF(NOT(ISNUMBER(A301)),"Date is not a real date. ",IF(YEAR(A301)&lt;&gt;Settings!$B$4,"Date outside tax year. ",IF(A301&gt;TODAY(),"Date is in the future. ","")))))</f>
        <v/>
      </c>
      <c r="L301" s="15" t="str">
        <f aca="false">IF(NOT(COUNTA($A301:$H301)&gt;0),"",IF(E301="","Missing amount. ",IF(NOT(ISNUMBER(E301)),"Amount is not a number. ",IF(E301&lt;=0,"Amount must be above zero. ",""))))</f>
        <v/>
      </c>
      <c r="M301" s="15" t="str">
        <f aca="false">IF(NOT(COUNTA($A301:$H301)&gt;0),"",IF(D301="","Missing category. ",IF(COUNTIF(Settings!$B$11:$B$40,D301)=0,"Category not in your list. ","")))</f>
        <v/>
      </c>
      <c r="N301" s="15" t="str">
        <f aca="false">IF(AND(ISNUMBER(A301),ISNUMBER(E301),B301&lt;&gt;""),IF(COUNTIFS($A$6:$A$505,A301,$B$6:$B$505,B301,$E$6:$E$505,E301)&gt;1,"Possible duplicate. ",""),"")</f>
        <v/>
      </c>
      <c r="O301" s="15" t="str">
        <f aca="false">IF(AND(ISNUMBER(E301),E301&gt;=Settings!$B$6,G301&lt;&gt;"Yes"),"Receipt not marked as saved. ","")</f>
        <v/>
      </c>
      <c r="P301" s="15" t="str">
        <f aca="false">IF(AND(ISNUMBER(E301),E301&gt;=Settings!$B$5),"Large amount: review. ","")</f>
        <v/>
      </c>
    </row>
    <row r="302" customFormat="false" ht="15" hidden="false" customHeight="false" outlineLevel="0" collapsed="false">
      <c r="A302" s="10"/>
      <c r="B302" s="11"/>
      <c r="C302" s="11"/>
      <c r="D302" s="11"/>
      <c r="E302" s="12"/>
      <c r="F302" s="11"/>
      <c r="G302" s="11"/>
      <c r="H302" s="11"/>
      <c r="I302" s="13" t="str">
        <f aca="false">IF(NOT(COUNTA($A302:$H302)&gt;0),"",IF(K302&amp;L302&amp;M302&lt;&gt;"","ERROR",IF(N302&amp;O302&amp;P302&lt;&gt;"","CHECK","OK")))</f>
        <v/>
      </c>
      <c r="J302" s="14" t="str">
        <f aca="false">TRIM(K302&amp;L302&amp;M302&amp;N302&amp;O302&amp;P302)</f>
        <v/>
      </c>
      <c r="K302" s="15" t="str">
        <f aca="true">IF(NOT(COUNTA($A302:$H302)&gt;0),"",IF(A302="","Missing date. ",IF(NOT(ISNUMBER(A302)),"Date is not a real date. ",IF(YEAR(A302)&lt;&gt;Settings!$B$4,"Date outside tax year. ",IF(A302&gt;TODAY(),"Date is in the future. ","")))))</f>
        <v/>
      </c>
      <c r="L302" s="15" t="str">
        <f aca="false">IF(NOT(COUNTA($A302:$H302)&gt;0),"",IF(E302="","Missing amount. ",IF(NOT(ISNUMBER(E302)),"Amount is not a number. ",IF(E302&lt;=0,"Amount must be above zero. ",""))))</f>
        <v/>
      </c>
      <c r="M302" s="15" t="str">
        <f aca="false">IF(NOT(COUNTA($A302:$H302)&gt;0),"",IF(D302="","Missing category. ",IF(COUNTIF(Settings!$B$11:$B$40,D302)=0,"Category not in your list. ","")))</f>
        <v/>
      </c>
      <c r="N302" s="15" t="str">
        <f aca="false">IF(AND(ISNUMBER(A302),ISNUMBER(E302),B302&lt;&gt;""),IF(COUNTIFS($A$6:$A$505,A302,$B$6:$B$505,B302,$E$6:$E$505,E302)&gt;1,"Possible duplicate. ",""),"")</f>
        <v/>
      </c>
      <c r="O302" s="15" t="str">
        <f aca="false">IF(AND(ISNUMBER(E302),E302&gt;=Settings!$B$6,G302&lt;&gt;"Yes"),"Receipt not marked as saved. ","")</f>
        <v/>
      </c>
      <c r="P302" s="15" t="str">
        <f aca="false">IF(AND(ISNUMBER(E302),E302&gt;=Settings!$B$5),"Large amount: review. ","")</f>
        <v/>
      </c>
    </row>
    <row r="303" customFormat="false" ht="15" hidden="false" customHeight="false" outlineLevel="0" collapsed="false">
      <c r="A303" s="10"/>
      <c r="B303" s="11"/>
      <c r="C303" s="11"/>
      <c r="D303" s="11"/>
      <c r="E303" s="12"/>
      <c r="F303" s="11"/>
      <c r="G303" s="11"/>
      <c r="H303" s="11"/>
      <c r="I303" s="13" t="str">
        <f aca="false">IF(NOT(COUNTA($A303:$H303)&gt;0),"",IF(K303&amp;L303&amp;M303&lt;&gt;"","ERROR",IF(N303&amp;O303&amp;P303&lt;&gt;"","CHECK","OK")))</f>
        <v/>
      </c>
      <c r="J303" s="14" t="str">
        <f aca="false">TRIM(K303&amp;L303&amp;M303&amp;N303&amp;O303&amp;P303)</f>
        <v/>
      </c>
      <c r="K303" s="15" t="str">
        <f aca="true">IF(NOT(COUNTA($A303:$H303)&gt;0),"",IF(A303="","Missing date. ",IF(NOT(ISNUMBER(A303)),"Date is not a real date. ",IF(YEAR(A303)&lt;&gt;Settings!$B$4,"Date outside tax year. ",IF(A303&gt;TODAY(),"Date is in the future. ","")))))</f>
        <v/>
      </c>
      <c r="L303" s="15" t="str">
        <f aca="false">IF(NOT(COUNTA($A303:$H303)&gt;0),"",IF(E303="","Missing amount. ",IF(NOT(ISNUMBER(E303)),"Amount is not a number. ",IF(E303&lt;=0,"Amount must be above zero. ",""))))</f>
        <v/>
      </c>
      <c r="M303" s="15" t="str">
        <f aca="false">IF(NOT(COUNTA($A303:$H303)&gt;0),"",IF(D303="","Missing category. ",IF(COUNTIF(Settings!$B$11:$B$40,D303)=0,"Category not in your list. ","")))</f>
        <v/>
      </c>
      <c r="N303" s="15" t="str">
        <f aca="false">IF(AND(ISNUMBER(A303),ISNUMBER(E303),B303&lt;&gt;""),IF(COUNTIFS($A$6:$A$505,A303,$B$6:$B$505,B303,$E$6:$E$505,E303)&gt;1,"Possible duplicate. ",""),"")</f>
        <v/>
      </c>
      <c r="O303" s="15" t="str">
        <f aca="false">IF(AND(ISNUMBER(E303),E303&gt;=Settings!$B$6,G303&lt;&gt;"Yes"),"Receipt not marked as saved. ","")</f>
        <v/>
      </c>
      <c r="P303" s="15" t="str">
        <f aca="false">IF(AND(ISNUMBER(E303),E303&gt;=Settings!$B$5),"Large amount: review. ","")</f>
        <v/>
      </c>
    </row>
    <row r="304" customFormat="false" ht="15" hidden="false" customHeight="false" outlineLevel="0" collapsed="false">
      <c r="A304" s="10"/>
      <c r="B304" s="11"/>
      <c r="C304" s="11"/>
      <c r="D304" s="11"/>
      <c r="E304" s="12"/>
      <c r="F304" s="11"/>
      <c r="G304" s="11"/>
      <c r="H304" s="11"/>
      <c r="I304" s="13" t="str">
        <f aca="false">IF(NOT(COUNTA($A304:$H304)&gt;0),"",IF(K304&amp;L304&amp;M304&lt;&gt;"","ERROR",IF(N304&amp;O304&amp;P304&lt;&gt;"","CHECK","OK")))</f>
        <v/>
      </c>
      <c r="J304" s="14" t="str">
        <f aca="false">TRIM(K304&amp;L304&amp;M304&amp;N304&amp;O304&amp;P304)</f>
        <v/>
      </c>
      <c r="K304" s="15" t="str">
        <f aca="true">IF(NOT(COUNTA($A304:$H304)&gt;0),"",IF(A304="","Missing date. ",IF(NOT(ISNUMBER(A304)),"Date is not a real date. ",IF(YEAR(A304)&lt;&gt;Settings!$B$4,"Date outside tax year. ",IF(A304&gt;TODAY(),"Date is in the future. ","")))))</f>
        <v/>
      </c>
      <c r="L304" s="15" t="str">
        <f aca="false">IF(NOT(COUNTA($A304:$H304)&gt;0),"",IF(E304="","Missing amount. ",IF(NOT(ISNUMBER(E304)),"Amount is not a number. ",IF(E304&lt;=0,"Amount must be above zero. ",""))))</f>
        <v/>
      </c>
      <c r="M304" s="15" t="str">
        <f aca="false">IF(NOT(COUNTA($A304:$H304)&gt;0),"",IF(D304="","Missing category. ",IF(COUNTIF(Settings!$B$11:$B$40,D304)=0,"Category not in your list. ","")))</f>
        <v/>
      </c>
      <c r="N304" s="15" t="str">
        <f aca="false">IF(AND(ISNUMBER(A304),ISNUMBER(E304),B304&lt;&gt;""),IF(COUNTIFS($A$6:$A$505,A304,$B$6:$B$505,B304,$E$6:$E$505,E304)&gt;1,"Possible duplicate. ",""),"")</f>
        <v/>
      </c>
      <c r="O304" s="15" t="str">
        <f aca="false">IF(AND(ISNUMBER(E304),E304&gt;=Settings!$B$6,G304&lt;&gt;"Yes"),"Receipt not marked as saved. ","")</f>
        <v/>
      </c>
      <c r="P304" s="15" t="str">
        <f aca="false">IF(AND(ISNUMBER(E304),E304&gt;=Settings!$B$5),"Large amount: review. ","")</f>
        <v/>
      </c>
    </row>
    <row r="305" customFormat="false" ht="15" hidden="false" customHeight="false" outlineLevel="0" collapsed="false">
      <c r="A305" s="10"/>
      <c r="B305" s="11"/>
      <c r="C305" s="11"/>
      <c r="D305" s="11"/>
      <c r="E305" s="12"/>
      <c r="F305" s="11"/>
      <c r="G305" s="11"/>
      <c r="H305" s="11"/>
      <c r="I305" s="13" t="str">
        <f aca="false">IF(NOT(COUNTA($A305:$H305)&gt;0),"",IF(K305&amp;L305&amp;M305&lt;&gt;"","ERROR",IF(N305&amp;O305&amp;P305&lt;&gt;"","CHECK","OK")))</f>
        <v/>
      </c>
      <c r="J305" s="14" t="str">
        <f aca="false">TRIM(K305&amp;L305&amp;M305&amp;N305&amp;O305&amp;P305)</f>
        <v/>
      </c>
      <c r="K305" s="15" t="str">
        <f aca="true">IF(NOT(COUNTA($A305:$H305)&gt;0),"",IF(A305="","Missing date. ",IF(NOT(ISNUMBER(A305)),"Date is not a real date. ",IF(YEAR(A305)&lt;&gt;Settings!$B$4,"Date outside tax year. ",IF(A305&gt;TODAY(),"Date is in the future. ","")))))</f>
        <v/>
      </c>
      <c r="L305" s="15" t="str">
        <f aca="false">IF(NOT(COUNTA($A305:$H305)&gt;0),"",IF(E305="","Missing amount. ",IF(NOT(ISNUMBER(E305)),"Amount is not a number. ",IF(E305&lt;=0,"Amount must be above zero. ",""))))</f>
        <v/>
      </c>
      <c r="M305" s="15" t="str">
        <f aca="false">IF(NOT(COUNTA($A305:$H305)&gt;0),"",IF(D305="","Missing category. ",IF(COUNTIF(Settings!$B$11:$B$40,D305)=0,"Category not in your list. ","")))</f>
        <v/>
      </c>
      <c r="N305" s="15" t="str">
        <f aca="false">IF(AND(ISNUMBER(A305),ISNUMBER(E305),B305&lt;&gt;""),IF(COUNTIFS($A$6:$A$505,A305,$B$6:$B$505,B305,$E$6:$E$505,E305)&gt;1,"Possible duplicate. ",""),"")</f>
        <v/>
      </c>
      <c r="O305" s="15" t="str">
        <f aca="false">IF(AND(ISNUMBER(E305),E305&gt;=Settings!$B$6,G305&lt;&gt;"Yes"),"Receipt not marked as saved. ","")</f>
        <v/>
      </c>
      <c r="P305" s="15" t="str">
        <f aca="false">IF(AND(ISNUMBER(E305),E305&gt;=Settings!$B$5),"Large amount: review. ","")</f>
        <v/>
      </c>
    </row>
    <row r="306" customFormat="false" ht="15" hidden="false" customHeight="false" outlineLevel="0" collapsed="false">
      <c r="A306" s="10"/>
      <c r="B306" s="11"/>
      <c r="C306" s="11"/>
      <c r="D306" s="11"/>
      <c r="E306" s="12"/>
      <c r="F306" s="11"/>
      <c r="G306" s="11"/>
      <c r="H306" s="11"/>
      <c r="I306" s="13" t="str">
        <f aca="false">IF(NOT(COUNTA($A306:$H306)&gt;0),"",IF(K306&amp;L306&amp;M306&lt;&gt;"","ERROR",IF(N306&amp;O306&amp;P306&lt;&gt;"","CHECK","OK")))</f>
        <v/>
      </c>
      <c r="J306" s="14" t="str">
        <f aca="false">TRIM(K306&amp;L306&amp;M306&amp;N306&amp;O306&amp;P306)</f>
        <v/>
      </c>
      <c r="K306" s="15" t="str">
        <f aca="true">IF(NOT(COUNTA($A306:$H306)&gt;0),"",IF(A306="","Missing date. ",IF(NOT(ISNUMBER(A306)),"Date is not a real date. ",IF(YEAR(A306)&lt;&gt;Settings!$B$4,"Date outside tax year. ",IF(A306&gt;TODAY(),"Date is in the future. ","")))))</f>
        <v/>
      </c>
      <c r="L306" s="15" t="str">
        <f aca="false">IF(NOT(COUNTA($A306:$H306)&gt;0),"",IF(E306="","Missing amount. ",IF(NOT(ISNUMBER(E306)),"Amount is not a number. ",IF(E306&lt;=0,"Amount must be above zero. ",""))))</f>
        <v/>
      </c>
      <c r="M306" s="15" t="str">
        <f aca="false">IF(NOT(COUNTA($A306:$H306)&gt;0),"",IF(D306="","Missing category. ",IF(COUNTIF(Settings!$B$11:$B$40,D306)=0,"Category not in your list. ","")))</f>
        <v/>
      </c>
      <c r="N306" s="15" t="str">
        <f aca="false">IF(AND(ISNUMBER(A306),ISNUMBER(E306),B306&lt;&gt;""),IF(COUNTIFS($A$6:$A$505,A306,$B$6:$B$505,B306,$E$6:$E$505,E306)&gt;1,"Possible duplicate. ",""),"")</f>
        <v/>
      </c>
      <c r="O306" s="15" t="str">
        <f aca="false">IF(AND(ISNUMBER(E306),E306&gt;=Settings!$B$6,G306&lt;&gt;"Yes"),"Receipt not marked as saved. ","")</f>
        <v/>
      </c>
      <c r="P306" s="15" t="str">
        <f aca="false">IF(AND(ISNUMBER(E306),E306&gt;=Settings!$B$5),"Large amount: review. ","")</f>
        <v/>
      </c>
    </row>
    <row r="307" customFormat="false" ht="15" hidden="false" customHeight="false" outlineLevel="0" collapsed="false">
      <c r="A307" s="10"/>
      <c r="B307" s="11"/>
      <c r="C307" s="11"/>
      <c r="D307" s="11"/>
      <c r="E307" s="12"/>
      <c r="F307" s="11"/>
      <c r="G307" s="11"/>
      <c r="H307" s="11"/>
      <c r="I307" s="13" t="str">
        <f aca="false">IF(NOT(COUNTA($A307:$H307)&gt;0),"",IF(K307&amp;L307&amp;M307&lt;&gt;"","ERROR",IF(N307&amp;O307&amp;P307&lt;&gt;"","CHECK","OK")))</f>
        <v/>
      </c>
      <c r="J307" s="14" t="str">
        <f aca="false">TRIM(K307&amp;L307&amp;M307&amp;N307&amp;O307&amp;P307)</f>
        <v/>
      </c>
      <c r="K307" s="15" t="str">
        <f aca="true">IF(NOT(COUNTA($A307:$H307)&gt;0),"",IF(A307="","Missing date. ",IF(NOT(ISNUMBER(A307)),"Date is not a real date. ",IF(YEAR(A307)&lt;&gt;Settings!$B$4,"Date outside tax year. ",IF(A307&gt;TODAY(),"Date is in the future. ","")))))</f>
        <v/>
      </c>
      <c r="L307" s="15" t="str">
        <f aca="false">IF(NOT(COUNTA($A307:$H307)&gt;0),"",IF(E307="","Missing amount. ",IF(NOT(ISNUMBER(E307)),"Amount is not a number. ",IF(E307&lt;=0,"Amount must be above zero. ",""))))</f>
        <v/>
      </c>
      <c r="M307" s="15" t="str">
        <f aca="false">IF(NOT(COUNTA($A307:$H307)&gt;0),"",IF(D307="","Missing category. ",IF(COUNTIF(Settings!$B$11:$B$40,D307)=0,"Category not in your list. ","")))</f>
        <v/>
      </c>
      <c r="N307" s="15" t="str">
        <f aca="false">IF(AND(ISNUMBER(A307),ISNUMBER(E307),B307&lt;&gt;""),IF(COUNTIFS($A$6:$A$505,A307,$B$6:$B$505,B307,$E$6:$E$505,E307)&gt;1,"Possible duplicate. ",""),"")</f>
        <v/>
      </c>
      <c r="O307" s="15" t="str">
        <f aca="false">IF(AND(ISNUMBER(E307),E307&gt;=Settings!$B$6,G307&lt;&gt;"Yes"),"Receipt not marked as saved. ","")</f>
        <v/>
      </c>
      <c r="P307" s="15" t="str">
        <f aca="false">IF(AND(ISNUMBER(E307),E307&gt;=Settings!$B$5),"Large amount: review. ","")</f>
        <v/>
      </c>
    </row>
    <row r="308" customFormat="false" ht="15" hidden="false" customHeight="false" outlineLevel="0" collapsed="false">
      <c r="A308" s="10"/>
      <c r="B308" s="11"/>
      <c r="C308" s="11"/>
      <c r="D308" s="11"/>
      <c r="E308" s="12"/>
      <c r="F308" s="11"/>
      <c r="G308" s="11"/>
      <c r="H308" s="11"/>
      <c r="I308" s="13" t="str">
        <f aca="false">IF(NOT(COUNTA($A308:$H308)&gt;0),"",IF(K308&amp;L308&amp;M308&lt;&gt;"","ERROR",IF(N308&amp;O308&amp;P308&lt;&gt;"","CHECK","OK")))</f>
        <v/>
      </c>
      <c r="J308" s="14" t="str">
        <f aca="false">TRIM(K308&amp;L308&amp;M308&amp;N308&amp;O308&amp;P308)</f>
        <v/>
      </c>
      <c r="K308" s="15" t="str">
        <f aca="true">IF(NOT(COUNTA($A308:$H308)&gt;0),"",IF(A308="","Missing date. ",IF(NOT(ISNUMBER(A308)),"Date is not a real date. ",IF(YEAR(A308)&lt;&gt;Settings!$B$4,"Date outside tax year. ",IF(A308&gt;TODAY(),"Date is in the future. ","")))))</f>
        <v/>
      </c>
      <c r="L308" s="15" t="str">
        <f aca="false">IF(NOT(COUNTA($A308:$H308)&gt;0),"",IF(E308="","Missing amount. ",IF(NOT(ISNUMBER(E308)),"Amount is not a number. ",IF(E308&lt;=0,"Amount must be above zero. ",""))))</f>
        <v/>
      </c>
      <c r="M308" s="15" t="str">
        <f aca="false">IF(NOT(COUNTA($A308:$H308)&gt;0),"",IF(D308="","Missing category. ",IF(COUNTIF(Settings!$B$11:$B$40,D308)=0,"Category not in your list. ","")))</f>
        <v/>
      </c>
      <c r="N308" s="15" t="str">
        <f aca="false">IF(AND(ISNUMBER(A308),ISNUMBER(E308),B308&lt;&gt;""),IF(COUNTIFS($A$6:$A$505,A308,$B$6:$B$505,B308,$E$6:$E$505,E308)&gt;1,"Possible duplicate. ",""),"")</f>
        <v/>
      </c>
      <c r="O308" s="15" t="str">
        <f aca="false">IF(AND(ISNUMBER(E308),E308&gt;=Settings!$B$6,G308&lt;&gt;"Yes"),"Receipt not marked as saved. ","")</f>
        <v/>
      </c>
      <c r="P308" s="15" t="str">
        <f aca="false">IF(AND(ISNUMBER(E308),E308&gt;=Settings!$B$5),"Large amount: review. ","")</f>
        <v/>
      </c>
    </row>
    <row r="309" customFormat="false" ht="15" hidden="false" customHeight="false" outlineLevel="0" collapsed="false">
      <c r="A309" s="10"/>
      <c r="B309" s="11"/>
      <c r="C309" s="11"/>
      <c r="D309" s="11"/>
      <c r="E309" s="12"/>
      <c r="F309" s="11"/>
      <c r="G309" s="11"/>
      <c r="H309" s="11"/>
      <c r="I309" s="13" t="str">
        <f aca="false">IF(NOT(COUNTA($A309:$H309)&gt;0),"",IF(K309&amp;L309&amp;M309&lt;&gt;"","ERROR",IF(N309&amp;O309&amp;P309&lt;&gt;"","CHECK","OK")))</f>
        <v/>
      </c>
      <c r="J309" s="14" t="str">
        <f aca="false">TRIM(K309&amp;L309&amp;M309&amp;N309&amp;O309&amp;P309)</f>
        <v/>
      </c>
      <c r="K309" s="15" t="str">
        <f aca="true">IF(NOT(COUNTA($A309:$H309)&gt;0),"",IF(A309="","Missing date. ",IF(NOT(ISNUMBER(A309)),"Date is not a real date. ",IF(YEAR(A309)&lt;&gt;Settings!$B$4,"Date outside tax year. ",IF(A309&gt;TODAY(),"Date is in the future. ","")))))</f>
        <v/>
      </c>
      <c r="L309" s="15" t="str">
        <f aca="false">IF(NOT(COUNTA($A309:$H309)&gt;0),"",IF(E309="","Missing amount. ",IF(NOT(ISNUMBER(E309)),"Amount is not a number. ",IF(E309&lt;=0,"Amount must be above zero. ",""))))</f>
        <v/>
      </c>
      <c r="M309" s="15" t="str">
        <f aca="false">IF(NOT(COUNTA($A309:$H309)&gt;0),"",IF(D309="","Missing category. ",IF(COUNTIF(Settings!$B$11:$B$40,D309)=0,"Category not in your list. ","")))</f>
        <v/>
      </c>
      <c r="N309" s="15" t="str">
        <f aca="false">IF(AND(ISNUMBER(A309),ISNUMBER(E309),B309&lt;&gt;""),IF(COUNTIFS($A$6:$A$505,A309,$B$6:$B$505,B309,$E$6:$E$505,E309)&gt;1,"Possible duplicate. ",""),"")</f>
        <v/>
      </c>
      <c r="O309" s="15" t="str">
        <f aca="false">IF(AND(ISNUMBER(E309),E309&gt;=Settings!$B$6,G309&lt;&gt;"Yes"),"Receipt not marked as saved. ","")</f>
        <v/>
      </c>
      <c r="P309" s="15" t="str">
        <f aca="false">IF(AND(ISNUMBER(E309),E309&gt;=Settings!$B$5),"Large amount: review. ","")</f>
        <v/>
      </c>
    </row>
    <row r="310" customFormat="false" ht="15" hidden="false" customHeight="false" outlineLevel="0" collapsed="false">
      <c r="A310" s="10"/>
      <c r="B310" s="11"/>
      <c r="C310" s="11"/>
      <c r="D310" s="11"/>
      <c r="E310" s="12"/>
      <c r="F310" s="11"/>
      <c r="G310" s="11"/>
      <c r="H310" s="11"/>
      <c r="I310" s="13" t="str">
        <f aca="false">IF(NOT(COUNTA($A310:$H310)&gt;0),"",IF(K310&amp;L310&amp;M310&lt;&gt;"","ERROR",IF(N310&amp;O310&amp;P310&lt;&gt;"","CHECK","OK")))</f>
        <v/>
      </c>
      <c r="J310" s="14" t="str">
        <f aca="false">TRIM(K310&amp;L310&amp;M310&amp;N310&amp;O310&amp;P310)</f>
        <v/>
      </c>
      <c r="K310" s="15" t="str">
        <f aca="true">IF(NOT(COUNTA($A310:$H310)&gt;0),"",IF(A310="","Missing date. ",IF(NOT(ISNUMBER(A310)),"Date is not a real date. ",IF(YEAR(A310)&lt;&gt;Settings!$B$4,"Date outside tax year. ",IF(A310&gt;TODAY(),"Date is in the future. ","")))))</f>
        <v/>
      </c>
      <c r="L310" s="15" t="str">
        <f aca="false">IF(NOT(COUNTA($A310:$H310)&gt;0),"",IF(E310="","Missing amount. ",IF(NOT(ISNUMBER(E310)),"Amount is not a number. ",IF(E310&lt;=0,"Amount must be above zero. ",""))))</f>
        <v/>
      </c>
      <c r="M310" s="15" t="str">
        <f aca="false">IF(NOT(COUNTA($A310:$H310)&gt;0),"",IF(D310="","Missing category. ",IF(COUNTIF(Settings!$B$11:$B$40,D310)=0,"Category not in your list. ","")))</f>
        <v/>
      </c>
      <c r="N310" s="15" t="str">
        <f aca="false">IF(AND(ISNUMBER(A310),ISNUMBER(E310),B310&lt;&gt;""),IF(COUNTIFS($A$6:$A$505,A310,$B$6:$B$505,B310,$E$6:$E$505,E310)&gt;1,"Possible duplicate. ",""),"")</f>
        <v/>
      </c>
      <c r="O310" s="15" t="str">
        <f aca="false">IF(AND(ISNUMBER(E310),E310&gt;=Settings!$B$6,G310&lt;&gt;"Yes"),"Receipt not marked as saved. ","")</f>
        <v/>
      </c>
      <c r="P310" s="15" t="str">
        <f aca="false">IF(AND(ISNUMBER(E310),E310&gt;=Settings!$B$5),"Large amount: review. ","")</f>
        <v/>
      </c>
    </row>
    <row r="311" customFormat="false" ht="15" hidden="false" customHeight="false" outlineLevel="0" collapsed="false">
      <c r="A311" s="10"/>
      <c r="B311" s="11"/>
      <c r="C311" s="11"/>
      <c r="D311" s="11"/>
      <c r="E311" s="12"/>
      <c r="F311" s="11"/>
      <c r="G311" s="11"/>
      <c r="H311" s="11"/>
      <c r="I311" s="13" t="str">
        <f aca="false">IF(NOT(COUNTA($A311:$H311)&gt;0),"",IF(K311&amp;L311&amp;M311&lt;&gt;"","ERROR",IF(N311&amp;O311&amp;P311&lt;&gt;"","CHECK","OK")))</f>
        <v/>
      </c>
      <c r="J311" s="14" t="str">
        <f aca="false">TRIM(K311&amp;L311&amp;M311&amp;N311&amp;O311&amp;P311)</f>
        <v/>
      </c>
      <c r="K311" s="15" t="str">
        <f aca="true">IF(NOT(COUNTA($A311:$H311)&gt;0),"",IF(A311="","Missing date. ",IF(NOT(ISNUMBER(A311)),"Date is not a real date. ",IF(YEAR(A311)&lt;&gt;Settings!$B$4,"Date outside tax year. ",IF(A311&gt;TODAY(),"Date is in the future. ","")))))</f>
        <v/>
      </c>
      <c r="L311" s="15" t="str">
        <f aca="false">IF(NOT(COUNTA($A311:$H311)&gt;0),"",IF(E311="","Missing amount. ",IF(NOT(ISNUMBER(E311)),"Amount is not a number. ",IF(E311&lt;=0,"Amount must be above zero. ",""))))</f>
        <v/>
      </c>
      <c r="M311" s="15" t="str">
        <f aca="false">IF(NOT(COUNTA($A311:$H311)&gt;0),"",IF(D311="","Missing category. ",IF(COUNTIF(Settings!$B$11:$B$40,D311)=0,"Category not in your list. ","")))</f>
        <v/>
      </c>
      <c r="N311" s="15" t="str">
        <f aca="false">IF(AND(ISNUMBER(A311),ISNUMBER(E311),B311&lt;&gt;""),IF(COUNTIFS($A$6:$A$505,A311,$B$6:$B$505,B311,$E$6:$E$505,E311)&gt;1,"Possible duplicate. ",""),"")</f>
        <v/>
      </c>
      <c r="O311" s="15" t="str">
        <f aca="false">IF(AND(ISNUMBER(E311),E311&gt;=Settings!$B$6,G311&lt;&gt;"Yes"),"Receipt not marked as saved. ","")</f>
        <v/>
      </c>
      <c r="P311" s="15" t="str">
        <f aca="false">IF(AND(ISNUMBER(E311),E311&gt;=Settings!$B$5),"Large amount: review. ","")</f>
        <v/>
      </c>
    </row>
    <row r="312" customFormat="false" ht="15" hidden="false" customHeight="false" outlineLevel="0" collapsed="false">
      <c r="A312" s="10"/>
      <c r="B312" s="11"/>
      <c r="C312" s="11"/>
      <c r="D312" s="11"/>
      <c r="E312" s="12"/>
      <c r="F312" s="11"/>
      <c r="G312" s="11"/>
      <c r="H312" s="11"/>
      <c r="I312" s="13" t="str">
        <f aca="false">IF(NOT(COUNTA($A312:$H312)&gt;0),"",IF(K312&amp;L312&amp;M312&lt;&gt;"","ERROR",IF(N312&amp;O312&amp;P312&lt;&gt;"","CHECK","OK")))</f>
        <v/>
      </c>
      <c r="J312" s="14" t="str">
        <f aca="false">TRIM(K312&amp;L312&amp;M312&amp;N312&amp;O312&amp;P312)</f>
        <v/>
      </c>
      <c r="K312" s="15" t="str">
        <f aca="true">IF(NOT(COUNTA($A312:$H312)&gt;0),"",IF(A312="","Missing date. ",IF(NOT(ISNUMBER(A312)),"Date is not a real date. ",IF(YEAR(A312)&lt;&gt;Settings!$B$4,"Date outside tax year. ",IF(A312&gt;TODAY(),"Date is in the future. ","")))))</f>
        <v/>
      </c>
      <c r="L312" s="15" t="str">
        <f aca="false">IF(NOT(COUNTA($A312:$H312)&gt;0),"",IF(E312="","Missing amount. ",IF(NOT(ISNUMBER(E312)),"Amount is not a number. ",IF(E312&lt;=0,"Amount must be above zero. ",""))))</f>
        <v/>
      </c>
      <c r="M312" s="15" t="str">
        <f aca="false">IF(NOT(COUNTA($A312:$H312)&gt;0),"",IF(D312="","Missing category. ",IF(COUNTIF(Settings!$B$11:$B$40,D312)=0,"Category not in your list. ","")))</f>
        <v/>
      </c>
      <c r="N312" s="15" t="str">
        <f aca="false">IF(AND(ISNUMBER(A312),ISNUMBER(E312),B312&lt;&gt;""),IF(COUNTIFS($A$6:$A$505,A312,$B$6:$B$505,B312,$E$6:$E$505,E312)&gt;1,"Possible duplicate. ",""),"")</f>
        <v/>
      </c>
      <c r="O312" s="15" t="str">
        <f aca="false">IF(AND(ISNUMBER(E312),E312&gt;=Settings!$B$6,G312&lt;&gt;"Yes"),"Receipt not marked as saved. ","")</f>
        <v/>
      </c>
      <c r="P312" s="15" t="str">
        <f aca="false">IF(AND(ISNUMBER(E312),E312&gt;=Settings!$B$5),"Large amount: review. ","")</f>
        <v/>
      </c>
    </row>
    <row r="313" customFormat="false" ht="15" hidden="false" customHeight="false" outlineLevel="0" collapsed="false">
      <c r="A313" s="10"/>
      <c r="B313" s="11"/>
      <c r="C313" s="11"/>
      <c r="D313" s="11"/>
      <c r="E313" s="12"/>
      <c r="F313" s="11"/>
      <c r="G313" s="11"/>
      <c r="H313" s="11"/>
      <c r="I313" s="13" t="str">
        <f aca="false">IF(NOT(COUNTA($A313:$H313)&gt;0),"",IF(K313&amp;L313&amp;M313&lt;&gt;"","ERROR",IF(N313&amp;O313&amp;P313&lt;&gt;"","CHECK","OK")))</f>
        <v/>
      </c>
      <c r="J313" s="14" t="str">
        <f aca="false">TRIM(K313&amp;L313&amp;M313&amp;N313&amp;O313&amp;P313)</f>
        <v/>
      </c>
      <c r="K313" s="15" t="str">
        <f aca="true">IF(NOT(COUNTA($A313:$H313)&gt;0),"",IF(A313="","Missing date. ",IF(NOT(ISNUMBER(A313)),"Date is not a real date. ",IF(YEAR(A313)&lt;&gt;Settings!$B$4,"Date outside tax year. ",IF(A313&gt;TODAY(),"Date is in the future. ","")))))</f>
        <v/>
      </c>
      <c r="L313" s="15" t="str">
        <f aca="false">IF(NOT(COUNTA($A313:$H313)&gt;0),"",IF(E313="","Missing amount. ",IF(NOT(ISNUMBER(E313)),"Amount is not a number. ",IF(E313&lt;=0,"Amount must be above zero. ",""))))</f>
        <v/>
      </c>
      <c r="M313" s="15" t="str">
        <f aca="false">IF(NOT(COUNTA($A313:$H313)&gt;0),"",IF(D313="","Missing category. ",IF(COUNTIF(Settings!$B$11:$B$40,D313)=0,"Category not in your list. ","")))</f>
        <v/>
      </c>
      <c r="N313" s="15" t="str">
        <f aca="false">IF(AND(ISNUMBER(A313),ISNUMBER(E313),B313&lt;&gt;""),IF(COUNTIFS($A$6:$A$505,A313,$B$6:$B$505,B313,$E$6:$E$505,E313)&gt;1,"Possible duplicate. ",""),"")</f>
        <v/>
      </c>
      <c r="O313" s="15" t="str">
        <f aca="false">IF(AND(ISNUMBER(E313),E313&gt;=Settings!$B$6,G313&lt;&gt;"Yes"),"Receipt not marked as saved. ","")</f>
        <v/>
      </c>
      <c r="P313" s="15" t="str">
        <f aca="false">IF(AND(ISNUMBER(E313),E313&gt;=Settings!$B$5),"Large amount: review. ","")</f>
        <v/>
      </c>
    </row>
    <row r="314" customFormat="false" ht="15" hidden="false" customHeight="false" outlineLevel="0" collapsed="false">
      <c r="A314" s="10"/>
      <c r="B314" s="11"/>
      <c r="C314" s="11"/>
      <c r="D314" s="11"/>
      <c r="E314" s="12"/>
      <c r="F314" s="11"/>
      <c r="G314" s="11"/>
      <c r="H314" s="11"/>
      <c r="I314" s="13" t="str">
        <f aca="false">IF(NOT(COUNTA($A314:$H314)&gt;0),"",IF(K314&amp;L314&amp;M314&lt;&gt;"","ERROR",IF(N314&amp;O314&amp;P314&lt;&gt;"","CHECK","OK")))</f>
        <v/>
      </c>
      <c r="J314" s="14" t="str">
        <f aca="false">TRIM(K314&amp;L314&amp;M314&amp;N314&amp;O314&amp;P314)</f>
        <v/>
      </c>
      <c r="K314" s="15" t="str">
        <f aca="true">IF(NOT(COUNTA($A314:$H314)&gt;0),"",IF(A314="","Missing date. ",IF(NOT(ISNUMBER(A314)),"Date is not a real date. ",IF(YEAR(A314)&lt;&gt;Settings!$B$4,"Date outside tax year. ",IF(A314&gt;TODAY(),"Date is in the future. ","")))))</f>
        <v/>
      </c>
      <c r="L314" s="15" t="str">
        <f aca="false">IF(NOT(COUNTA($A314:$H314)&gt;0),"",IF(E314="","Missing amount. ",IF(NOT(ISNUMBER(E314)),"Amount is not a number. ",IF(E314&lt;=0,"Amount must be above zero. ",""))))</f>
        <v/>
      </c>
      <c r="M314" s="15" t="str">
        <f aca="false">IF(NOT(COUNTA($A314:$H314)&gt;0),"",IF(D314="","Missing category. ",IF(COUNTIF(Settings!$B$11:$B$40,D314)=0,"Category not in your list. ","")))</f>
        <v/>
      </c>
      <c r="N314" s="15" t="str">
        <f aca="false">IF(AND(ISNUMBER(A314),ISNUMBER(E314),B314&lt;&gt;""),IF(COUNTIFS($A$6:$A$505,A314,$B$6:$B$505,B314,$E$6:$E$505,E314)&gt;1,"Possible duplicate. ",""),"")</f>
        <v/>
      </c>
      <c r="O314" s="15" t="str">
        <f aca="false">IF(AND(ISNUMBER(E314),E314&gt;=Settings!$B$6,G314&lt;&gt;"Yes"),"Receipt not marked as saved. ","")</f>
        <v/>
      </c>
      <c r="P314" s="15" t="str">
        <f aca="false">IF(AND(ISNUMBER(E314),E314&gt;=Settings!$B$5),"Large amount: review. ","")</f>
        <v/>
      </c>
    </row>
    <row r="315" customFormat="false" ht="15" hidden="false" customHeight="false" outlineLevel="0" collapsed="false">
      <c r="A315" s="10"/>
      <c r="B315" s="11"/>
      <c r="C315" s="11"/>
      <c r="D315" s="11"/>
      <c r="E315" s="12"/>
      <c r="F315" s="11"/>
      <c r="G315" s="11"/>
      <c r="H315" s="11"/>
      <c r="I315" s="13" t="str">
        <f aca="false">IF(NOT(COUNTA($A315:$H315)&gt;0),"",IF(K315&amp;L315&amp;M315&lt;&gt;"","ERROR",IF(N315&amp;O315&amp;P315&lt;&gt;"","CHECK","OK")))</f>
        <v/>
      </c>
      <c r="J315" s="14" t="str">
        <f aca="false">TRIM(K315&amp;L315&amp;M315&amp;N315&amp;O315&amp;P315)</f>
        <v/>
      </c>
      <c r="K315" s="15" t="str">
        <f aca="true">IF(NOT(COUNTA($A315:$H315)&gt;0),"",IF(A315="","Missing date. ",IF(NOT(ISNUMBER(A315)),"Date is not a real date. ",IF(YEAR(A315)&lt;&gt;Settings!$B$4,"Date outside tax year. ",IF(A315&gt;TODAY(),"Date is in the future. ","")))))</f>
        <v/>
      </c>
      <c r="L315" s="15" t="str">
        <f aca="false">IF(NOT(COUNTA($A315:$H315)&gt;0),"",IF(E315="","Missing amount. ",IF(NOT(ISNUMBER(E315)),"Amount is not a number. ",IF(E315&lt;=0,"Amount must be above zero. ",""))))</f>
        <v/>
      </c>
      <c r="M315" s="15" t="str">
        <f aca="false">IF(NOT(COUNTA($A315:$H315)&gt;0),"",IF(D315="","Missing category. ",IF(COUNTIF(Settings!$B$11:$B$40,D315)=0,"Category not in your list. ","")))</f>
        <v/>
      </c>
      <c r="N315" s="15" t="str">
        <f aca="false">IF(AND(ISNUMBER(A315),ISNUMBER(E315),B315&lt;&gt;""),IF(COUNTIFS($A$6:$A$505,A315,$B$6:$B$505,B315,$E$6:$E$505,E315)&gt;1,"Possible duplicate. ",""),"")</f>
        <v/>
      </c>
      <c r="O315" s="15" t="str">
        <f aca="false">IF(AND(ISNUMBER(E315),E315&gt;=Settings!$B$6,G315&lt;&gt;"Yes"),"Receipt not marked as saved. ","")</f>
        <v/>
      </c>
      <c r="P315" s="15" t="str">
        <f aca="false">IF(AND(ISNUMBER(E315),E315&gt;=Settings!$B$5),"Large amount: review. ","")</f>
        <v/>
      </c>
    </row>
    <row r="316" customFormat="false" ht="15" hidden="false" customHeight="false" outlineLevel="0" collapsed="false">
      <c r="A316" s="10"/>
      <c r="B316" s="11"/>
      <c r="C316" s="11"/>
      <c r="D316" s="11"/>
      <c r="E316" s="12"/>
      <c r="F316" s="11"/>
      <c r="G316" s="11"/>
      <c r="H316" s="11"/>
      <c r="I316" s="13" t="str">
        <f aca="false">IF(NOT(COUNTA($A316:$H316)&gt;0),"",IF(K316&amp;L316&amp;M316&lt;&gt;"","ERROR",IF(N316&amp;O316&amp;P316&lt;&gt;"","CHECK","OK")))</f>
        <v/>
      </c>
      <c r="J316" s="14" t="str">
        <f aca="false">TRIM(K316&amp;L316&amp;M316&amp;N316&amp;O316&amp;P316)</f>
        <v/>
      </c>
      <c r="K316" s="15" t="str">
        <f aca="true">IF(NOT(COUNTA($A316:$H316)&gt;0),"",IF(A316="","Missing date. ",IF(NOT(ISNUMBER(A316)),"Date is not a real date. ",IF(YEAR(A316)&lt;&gt;Settings!$B$4,"Date outside tax year. ",IF(A316&gt;TODAY(),"Date is in the future. ","")))))</f>
        <v/>
      </c>
      <c r="L316" s="15" t="str">
        <f aca="false">IF(NOT(COUNTA($A316:$H316)&gt;0),"",IF(E316="","Missing amount. ",IF(NOT(ISNUMBER(E316)),"Amount is not a number. ",IF(E316&lt;=0,"Amount must be above zero. ",""))))</f>
        <v/>
      </c>
      <c r="M316" s="15" t="str">
        <f aca="false">IF(NOT(COUNTA($A316:$H316)&gt;0),"",IF(D316="","Missing category. ",IF(COUNTIF(Settings!$B$11:$B$40,D316)=0,"Category not in your list. ","")))</f>
        <v/>
      </c>
      <c r="N316" s="15" t="str">
        <f aca="false">IF(AND(ISNUMBER(A316),ISNUMBER(E316),B316&lt;&gt;""),IF(COUNTIFS($A$6:$A$505,A316,$B$6:$B$505,B316,$E$6:$E$505,E316)&gt;1,"Possible duplicate. ",""),"")</f>
        <v/>
      </c>
      <c r="O316" s="15" t="str">
        <f aca="false">IF(AND(ISNUMBER(E316),E316&gt;=Settings!$B$6,G316&lt;&gt;"Yes"),"Receipt not marked as saved. ","")</f>
        <v/>
      </c>
      <c r="P316" s="15" t="str">
        <f aca="false">IF(AND(ISNUMBER(E316),E316&gt;=Settings!$B$5),"Large amount: review. ","")</f>
        <v/>
      </c>
    </row>
    <row r="317" customFormat="false" ht="15" hidden="false" customHeight="false" outlineLevel="0" collapsed="false">
      <c r="A317" s="10"/>
      <c r="B317" s="11"/>
      <c r="C317" s="11"/>
      <c r="D317" s="11"/>
      <c r="E317" s="12"/>
      <c r="F317" s="11"/>
      <c r="G317" s="11"/>
      <c r="H317" s="11"/>
      <c r="I317" s="13" t="str">
        <f aca="false">IF(NOT(COUNTA($A317:$H317)&gt;0),"",IF(K317&amp;L317&amp;M317&lt;&gt;"","ERROR",IF(N317&amp;O317&amp;P317&lt;&gt;"","CHECK","OK")))</f>
        <v/>
      </c>
      <c r="J317" s="14" t="str">
        <f aca="false">TRIM(K317&amp;L317&amp;M317&amp;N317&amp;O317&amp;P317)</f>
        <v/>
      </c>
      <c r="K317" s="15" t="str">
        <f aca="true">IF(NOT(COUNTA($A317:$H317)&gt;0),"",IF(A317="","Missing date. ",IF(NOT(ISNUMBER(A317)),"Date is not a real date. ",IF(YEAR(A317)&lt;&gt;Settings!$B$4,"Date outside tax year. ",IF(A317&gt;TODAY(),"Date is in the future. ","")))))</f>
        <v/>
      </c>
      <c r="L317" s="15" t="str">
        <f aca="false">IF(NOT(COUNTA($A317:$H317)&gt;0),"",IF(E317="","Missing amount. ",IF(NOT(ISNUMBER(E317)),"Amount is not a number. ",IF(E317&lt;=0,"Amount must be above zero. ",""))))</f>
        <v/>
      </c>
      <c r="M317" s="15" t="str">
        <f aca="false">IF(NOT(COUNTA($A317:$H317)&gt;0),"",IF(D317="","Missing category. ",IF(COUNTIF(Settings!$B$11:$B$40,D317)=0,"Category not in your list. ","")))</f>
        <v/>
      </c>
      <c r="N317" s="15" t="str">
        <f aca="false">IF(AND(ISNUMBER(A317),ISNUMBER(E317),B317&lt;&gt;""),IF(COUNTIFS($A$6:$A$505,A317,$B$6:$B$505,B317,$E$6:$E$505,E317)&gt;1,"Possible duplicate. ",""),"")</f>
        <v/>
      </c>
      <c r="O317" s="15" t="str">
        <f aca="false">IF(AND(ISNUMBER(E317),E317&gt;=Settings!$B$6,G317&lt;&gt;"Yes"),"Receipt not marked as saved. ","")</f>
        <v/>
      </c>
      <c r="P317" s="15" t="str">
        <f aca="false">IF(AND(ISNUMBER(E317),E317&gt;=Settings!$B$5),"Large amount: review. ","")</f>
        <v/>
      </c>
    </row>
    <row r="318" customFormat="false" ht="15" hidden="false" customHeight="false" outlineLevel="0" collapsed="false">
      <c r="A318" s="10"/>
      <c r="B318" s="11"/>
      <c r="C318" s="11"/>
      <c r="D318" s="11"/>
      <c r="E318" s="12"/>
      <c r="F318" s="11"/>
      <c r="G318" s="11"/>
      <c r="H318" s="11"/>
      <c r="I318" s="13" t="str">
        <f aca="false">IF(NOT(COUNTA($A318:$H318)&gt;0),"",IF(K318&amp;L318&amp;M318&lt;&gt;"","ERROR",IF(N318&amp;O318&amp;P318&lt;&gt;"","CHECK","OK")))</f>
        <v/>
      </c>
      <c r="J318" s="14" t="str">
        <f aca="false">TRIM(K318&amp;L318&amp;M318&amp;N318&amp;O318&amp;P318)</f>
        <v/>
      </c>
      <c r="K318" s="15" t="str">
        <f aca="true">IF(NOT(COUNTA($A318:$H318)&gt;0),"",IF(A318="","Missing date. ",IF(NOT(ISNUMBER(A318)),"Date is not a real date. ",IF(YEAR(A318)&lt;&gt;Settings!$B$4,"Date outside tax year. ",IF(A318&gt;TODAY(),"Date is in the future. ","")))))</f>
        <v/>
      </c>
      <c r="L318" s="15" t="str">
        <f aca="false">IF(NOT(COUNTA($A318:$H318)&gt;0),"",IF(E318="","Missing amount. ",IF(NOT(ISNUMBER(E318)),"Amount is not a number. ",IF(E318&lt;=0,"Amount must be above zero. ",""))))</f>
        <v/>
      </c>
      <c r="M318" s="15" t="str">
        <f aca="false">IF(NOT(COUNTA($A318:$H318)&gt;0),"",IF(D318="","Missing category. ",IF(COUNTIF(Settings!$B$11:$B$40,D318)=0,"Category not in your list. ","")))</f>
        <v/>
      </c>
      <c r="N318" s="15" t="str">
        <f aca="false">IF(AND(ISNUMBER(A318),ISNUMBER(E318),B318&lt;&gt;""),IF(COUNTIFS($A$6:$A$505,A318,$B$6:$B$505,B318,$E$6:$E$505,E318)&gt;1,"Possible duplicate. ",""),"")</f>
        <v/>
      </c>
      <c r="O318" s="15" t="str">
        <f aca="false">IF(AND(ISNUMBER(E318),E318&gt;=Settings!$B$6,G318&lt;&gt;"Yes"),"Receipt not marked as saved. ","")</f>
        <v/>
      </c>
      <c r="P318" s="15" t="str">
        <f aca="false">IF(AND(ISNUMBER(E318),E318&gt;=Settings!$B$5),"Large amount: review. ","")</f>
        <v/>
      </c>
    </row>
    <row r="319" customFormat="false" ht="15" hidden="false" customHeight="false" outlineLevel="0" collapsed="false">
      <c r="A319" s="10"/>
      <c r="B319" s="11"/>
      <c r="C319" s="11"/>
      <c r="D319" s="11"/>
      <c r="E319" s="12"/>
      <c r="F319" s="11"/>
      <c r="G319" s="11"/>
      <c r="H319" s="11"/>
      <c r="I319" s="13" t="str">
        <f aca="false">IF(NOT(COUNTA($A319:$H319)&gt;0),"",IF(K319&amp;L319&amp;M319&lt;&gt;"","ERROR",IF(N319&amp;O319&amp;P319&lt;&gt;"","CHECK","OK")))</f>
        <v/>
      </c>
      <c r="J319" s="14" t="str">
        <f aca="false">TRIM(K319&amp;L319&amp;M319&amp;N319&amp;O319&amp;P319)</f>
        <v/>
      </c>
      <c r="K319" s="15" t="str">
        <f aca="true">IF(NOT(COUNTA($A319:$H319)&gt;0),"",IF(A319="","Missing date. ",IF(NOT(ISNUMBER(A319)),"Date is not a real date. ",IF(YEAR(A319)&lt;&gt;Settings!$B$4,"Date outside tax year. ",IF(A319&gt;TODAY(),"Date is in the future. ","")))))</f>
        <v/>
      </c>
      <c r="L319" s="15" t="str">
        <f aca="false">IF(NOT(COUNTA($A319:$H319)&gt;0),"",IF(E319="","Missing amount. ",IF(NOT(ISNUMBER(E319)),"Amount is not a number. ",IF(E319&lt;=0,"Amount must be above zero. ",""))))</f>
        <v/>
      </c>
      <c r="M319" s="15" t="str">
        <f aca="false">IF(NOT(COUNTA($A319:$H319)&gt;0),"",IF(D319="","Missing category. ",IF(COUNTIF(Settings!$B$11:$B$40,D319)=0,"Category not in your list. ","")))</f>
        <v/>
      </c>
      <c r="N319" s="15" t="str">
        <f aca="false">IF(AND(ISNUMBER(A319),ISNUMBER(E319),B319&lt;&gt;""),IF(COUNTIFS($A$6:$A$505,A319,$B$6:$B$505,B319,$E$6:$E$505,E319)&gt;1,"Possible duplicate. ",""),"")</f>
        <v/>
      </c>
      <c r="O319" s="15" t="str">
        <f aca="false">IF(AND(ISNUMBER(E319),E319&gt;=Settings!$B$6,G319&lt;&gt;"Yes"),"Receipt not marked as saved. ","")</f>
        <v/>
      </c>
      <c r="P319" s="15" t="str">
        <f aca="false">IF(AND(ISNUMBER(E319),E319&gt;=Settings!$B$5),"Large amount: review. ","")</f>
        <v/>
      </c>
    </row>
    <row r="320" customFormat="false" ht="15" hidden="false" customHeight="false" outlineLevel="0" collapsed="false">
      <c r="A320" s="10"/>
      <c r="B320" s="11"/>
      <c r="C320" s="11"/>
      <c r="D320" s="11"/>
      <c r="E320" s="12"/>
      <c r="F320" s="11"/>
      <c r="G320" s="11"/>
      <c r="H320" s="11"/>
      <c r="I320" s="13" t="str">
        <f aca="false">IF(NOT(COUNTA($A320:$H320)&gt;0),"",IF(K320&amp;L320&amp;M320&lt;&gt;"","ERROR",IF(N320&amp;O320&amp;P320&lt;&gt;"","CHECK","OK")))</f>
        <v/>
      </c>
      <c r="J320" s="14" t="str">
        <f aca="false">TRIM(K320&amp;L320&amp;M320&amp;N320&amp;O320&amp;P320)</f>
        <v/>
      </c>
      <c r="K320" s="15" t="str">
        <f aca="true">IF(NOT(COUNTA($A320:$H320)&gt;0),"",IF(A320="","Missing date. ",IF(NOT(ISNUMBER(A320)),"Date is not a real date. ",IF(YEAR(A320)&lt;&gt;Settings!$B$4,"Date outside tax year. ",IF(A320&gt;TODAY(),"Date is in the future. ","")))))</f>
        <v/>
      </c>
      <c r="L320" s="15" t="str">
        <f aca="false">IF(NOT(COUNTA($A320:$H320)&gt;0),"",IF(E320="","Missing amount. ",IF(NOT(ISNUMBER(E320)),"Amount is not a number. ",IF(E320&lt;=0,"Amount must be above zero. ",""))))</f>
        <v/>
      </c>
      <c r="M320" s="15" t="str">
        <f aca="false">IF(NOT(COUNTA($A320:$H320)&gt;0),"",IF(D320="","Missing category. ",IF(COUNTIF(Settings!$B$11:$B$40,D320)=0,"Category not in your list. ","")))</f>
        <v/>
      </c>
      <c r="N320" s="15" t="str">
        <f aca="false">IF(AND(ISNUMBER(A320),ISNUMBER(E320),B320&lt;&gt;""),IF(COUNTIFS($A$6:$A$505,A320,$B$6:$B$505,B320,$E$6:$E$505,E320)&gt;1,"Possible duplicate. ",""),"")</f>
        <v/>
      </c>
      <c r="O320" s="15" t="str">
        <f aca="false">IF(AND(ISNUMBER(E320),E320&gt;=Settings!$B$6,G320&lt;&gt;"Yes"),"Receipt not marked as saved. ","")</f>
        <v/>
      </c>
      <c r="P320" s="15" t="str">
        <f aca="false">IF(AND(ISNUMBER(E320),E320&gt;=Settings!$B$5),"Large amount: review. ","")</f>
        <v/>
      </c>
    </row>
    <row r="321" customFormat="false" ht="15" hidden="false" customHeight="false" outlineLevel="0" collapsed="false">
      <c r="A321" s="10"/>
      <c r="B321" s="11"/>
      <c r="C321" s="11"/>
      <c r="D321" s="11"/>
      <c r="E321" s="12"/>
      <c r="F321" s="11"/>
      <c r="G321" s="11"/>
      <c r="H321" s="11"/>
      <c r="I321" s="13" t="str">
        <f aca="false">IF(NOT(COUNTA($A321:$H321)&gt;0),"",IF(K321&amp;L321&amp;M321&lt;&gt;"","ERROR",IF(N321&amp;O321&amp;P321&lt;&gt;"","CHECK","OK")))</f>
        <v/>
      </c>
      <c r="J321" s="14" t="str">
        <f aca="false">TRIM(K321&amp;L321&amp;M321&amp;N321&amp;O321&amp;P321)</f>
        <v/>
      </c>
      <c r="K321" s="15" t="str">
        <f aca="true">IF(NOT(COUNTA($A321:$H321)&gt;0),"",IF(A321="","Missing date. ",IF(NOT(ISNUMBER(A321)),"Date is not a real date. ",IF(YEAR(A321)&lt;&gt;Settings!$B$4,"Date outside tax year. ",IF(A321&gt;TODAY(),"Date is in the future. ","")))))</f>
        <v/>
      </c>
      <c r="L321" s="15" t="str">
        <f aca="false">IF(NOT(COUNTA($A321:$H321)&gt;0),"",IF(E321="","Missing amount. ",IF(NOT(ISNUMBER(E321)),"Amount is not a number. ",IF(E321&lt;=0,"Amount must be above zero. ",""))))</f>
        <v/>
      </c>
      <c r="M321" s="15" t="str">
        <f aca="false">IF(NOT(COUNTA($A321:$H321)&gt;0),"",IF(D321="","Missing category. ",IF(COUNTIF(Settings!$B$11:$B$40,D321)=0,"Category not in your list. ","")))</f>
        <v/>
      </c>
      <c r="N321" s="15" t="str">
        <f aca="false">IF(AND(ISNUMBER(A321),ISNUMBER(E321),B321&lt;&gt;""),IF(COUNTIFS($A$6:$A$505,A321,$B$6:$B$505,B321,$E$6:$E$505,E321)&gt;1,"Possible duplicate. ",""),"")</f>
        <v/>
      </c>
      <c r="O321" s="15" t="str">
        <f aca="false">IF(AND(ISNUMBER(E321),E321&gt;=Settings!$B$6,G321&lt;&gt;"Yes"),"Receipt not marked as saved. ","")</f>
        <v/>
      </c>
      <c r="P321" s="15" t="str">
        <f aca="false">IF(AND(ISNUMBER(E321),E321&gt;=Settings!$B$5),"Large amount: review. ","")</f>
        <v/>
      </c>
    </row>
    <row r="322" customFormat="false" ht="15" hidden="false" customHeight="false" outlineLevel="0" collapsed="false">
      <c r="A322" s="10"/>
      <c r="B322" s="11"/>
      <c r="C322" s="11"/>
      <c r="D322" s="11"/>
      <c r="E322" s="12"/>
      <c r="F322" s="11"/>
      <c r="G322" s="11"/>
      <c r="H322" s="11"/>
      <c r="I322" s="13" t="str">
        <f aca="false">IF(NOT(COUNTA($A322:$H322)&gt;0),"",IF(K322&amp;L322&amp;M322&lt;&gt;"","ERROR",IF(N322&amp;O322&amp;P322&lt;&gt;"","CHECK","OK")))</f>
        <v/>
      </c>
      <c r="J322" s="14" t="str">
        <f aca="false">TRIM(K322&amp;L322&amp;M322&amp;N322&amp;O322&amp;P322)</f>
        <v/>
      </c>
      <c r="K322" s="15" t="str">
        <f aca="true">IF(NOT(COUNTA($A322:$H322)&gt;0),"",IF(A322="","Missing date. ",IF(NOT(ISNUMBER(A322)),"Date is not a real date. ",IF(YEAR(A322)&lt;&gt;Settings!$B$4,"Date outside tax year. ",IF(A322&gt;TODAY(),"Date is in the future. ","")))))</f>
        <v/>
      </c>
      <c r="L322" s="15" t="str">
        <f aca="false">IF(NOT(COUNTA($A322:$H322)&gt;0),"",IF(E322="","Missing amount. ",IF(NOT(ISNUMBER(E322)),"Amount is not a number. ",IF(E322&lt;=0,"Amount must be above zero. ",""))))</f>
        <v/>
      </c>
      <c r="M322" s="15" t="str">
        <f aca="false">IF(NOT(COUNTA($A322:$H322)&gt;0),"",IF(D322="","Missing category. ",IF(COUNTIF(Settings!$B$11:$B$40,D322)=0,"Category not in your list. ","")))</f>
        <v/>
      </c>
      <c r="N322" s="15" t="str">
        <f aca="false">IF(AND(ISNUMBER(A322),ISNUMBER(E322),B322&lt;&gt;""),IF(COUNTIFS($A$6:$A$505,A322,$B$6:$B$505,B322,$E$6:$E$505,E322)&gt;1,"Possible duplicate. ",""),"")</f>
        <v/>
      </c>
      <c r="O322" s="15" t="str">
        <f aca="false">IF(AND(ISNUMBER(E322),E322&gt;=Settings!$B$6,G322&lt;&gt;"Yes"),"Receipt not marked as saved. ","")</f>
        <v/>
      </c>
      <c r="P322" s="15" t="str">
        <f aca="false">IF(AND(ISNUMBER(E322),E322&gt;=Settings!$B$5),"Large amount: review. ","")</f>
        <v/>
      </c>
    </row>
    <row r="323" customFormat="false" ht="15" hidden="false" customHeight="false" outlineLevel="0" collapsed="false">
      <c r="A323" s="10"/>
      <c r="B323" s="11"/>
      <c r="C323" s="11"/>
      <c r="D323" s="11"/>
      <c r="E323" s="12"/>
      <c r="F323" s="11"/>
      <c r="G323" s="11"/>
      <c r="H323" s="11"/>
      <c r="I323" s="13" t="str">
        <f aca="false">IF(NOT(COUNTA($A323:$H323)&gt;0),"",IF(K323&amp;L323&amp;M323&lt;&gt;"","ERROR",IF(N323&amp;O323&amp;P323&lt;&gt;"","CHECK","OK")))</f>
        <v/>
      </c>
      <c r="J323" s="14" t="str">
        <f aca="false">TRIM(K323&amp;L323&amp;M323&amp;N323&amp;O323&amp;P323)</f>
        <v/>
      </c>
      <c r="K323" s="15" t="str">
        <f aca="true">IF(NOT(COUNTA($A323:$H323)&gt;0),"",IF(A323="","Missing date. ",IF(NOT(ISNUMBER(A323)),"Date is not a real date. ",IF(YEAR(A323)&lt;&gt;Settings!$B$4,"Date outside tax year. ",IF(A323&gt;TODAY(),"Date is in the future. ","")))))</f>
        <v/>
      </c>
      <c r="L323" s="15" t="str">
        <f aca="false">IF(NOT(COUNTA($A323:$H323)&gt;0),"",IF(E323="","Missing amount. ",IF(NOT(ISNUMBER(E323)),"Amount is not a number. ",IF(E323&lt;=0,"Amount must be above zero. ",""))))</f>
        <v/>
      </c>
      <c r="M323" s="15" t="str">
        <f aca="false">IF(NOT(COUNTA($A323:$H323)&gt;0),"",IF(D323="","Missing category. ",IF(COUNTIF(Settings!$B$11:$B$40,D323)=0,"Category not in your list. ","")))</f>
        <v/>
      </c>
      <c r="N323" s="15" t="str">
        <f aca="false">IF(AND(ISNUMBER(A323),ISNUMBER(E323),B323&lt;&gt;""),IF(COUNTIFS($A$6:$A$505,A323,$B$6:$B$505,B323,$E$6:$E$505,E323)&gt;1,"Possible duplicate. ",""),"")</f>
        <v/>
      </c>
      <c r="O323" s="15" t="str">
        <f aca="false">IF(AND(ISNUMBER(E323),E323&gt;=Settings!$B$6,G323&lt;&gt;"Yes"),"Receipt not marked as saved. ","")</f>
        <v/>
      </c>
      <c r="P323" s="15" t="str">
        <f aca="false">IF(AND(ISNUMBER(E323),E323&gt;=Settings!$B$5),"Large amount: review. ","")</f>
        <v/>
      </c>
    </row>
    <row r="324" customFormat="false" ht="15" hidden="false" customHeight="false" outlineLevel="0" collapsed="false">
      <c r="A324" s="10"/>
      <c r="B324" s="11"/>
      <c r="C324" s="11"/>
      <c r="D324" s="11"/>
      <c r="E324" s="12"/>
      <c r="F324" s="11"/>
      <c r="G324" s="11"/>
      <c r="H324" s="11"/>
      <c r="I324" s="13" t="str">
        <f aca="false">IF(NOT(COUNTA($A324:$H324)&gt;0),"",IF(K324&amp;L324&amp;M324&lt;&gt;"","ERROR",IF(N324&amp;O324&amp;P324&lt;&gt;"","CHECK","OK")))</f>
        <v/>
      </c>
      <c r="J324" s="14" t="str">
        <f aca="false">TRIM(K324&amp;L324&amp;M324&amp;N324&amp;O324&amp;P324)</f>
        <v/>
      </c>
      <c r="K324" s="15" t="str">
        <f aca="true">IF(NOT(COUNTA($A324:$H324)&gt;0),"",IF(A324="","Missing date. ",IF(NOT(ISNUMBER(A324)),"Date is not a real date. ",IF(YEAR(A324)&lt;&gt;Settings!$B$4,"Date outside tax year. ",IF(A324&gt;TODAY(),"Date is in the future. ","")))))</f>
        <v/>
      </c>
      <c r="L324" s="15" t="str">
        <f aca="false">IF(NOT(COUNTA($A324:$H324)&gt;0),"",IF(E324="","Missing amount. ",IF(NOT(ISNUMBER(E324)),"Amount is not a number. ",IF(E324&lt;=0,"Amount must be above zero. ",""))))</f>
        <v/>
      </c>
      <c r="M324" s="15" t="str">
        <f aca="false">IF(NOT(COUNTA($A324:$H324)&gt;0),"",IF(D324="","Missing category. ",IF(COUNTIF(Settings!$B$11:$B$40,D324)=0,"Category not in your list. ","")))</f>
        <v/>
      </c>
      <c r="N324" s="15" t="str">
        <f aca="false">IF(AND(ISNUMBER(A324),ISNUMBER(E324),B324&lt;&gt;""),IF(COUNTIFS($A$6:$A$505,A324,$B$6:$B$505,B324,$E$6:$E$505,E324)&gt;1,"Possible duplicate. ",""),"")</f>
        <v/>
      </c>
      <c r="O324" s="15" t="str">
        <f aca="false">IF(AND(ISNUMBER(E324),E324&gt;=Settings!$B$6,G324&lt;&gt;"Yes"),"Receipt not marked as saved. ","")</f>
        <v/>
      </c>
      <c r="P324" s="15" t="str">
        <f aca="false">IF(AND(ISNUMBER(E324),E324&gt;=Settings!$B$5),"Large amount: review. ","")</f>
        <v/>
      </c>
    </row>
    <row r="325" customFormat="false" ht="15" hidden="false" customHeight="false" outlineLevel="0" collapsed="false">
      <c r="A325" s="10"/>
      <c r="B325" s="11"/>
      <c r="C325" s="11"/>
      <c r="D325" s="11"/>
      <c r="E325" s="12"/>
      <c r="F325" s="11"/>
      <c r="G325" s="11"/>
      <c r="H325" s="11"/>
      <c r="I325" s="13" t="str">
        <f aca="false">IF(NOT(COUNTA($A325:$H325)&gt;0),"",IF(K325&amp;L325&amp;M325&lt;&gt;"","ERROR",IF(N325&amp;O325&amp;P325&lt;&gt;"","CHECK","OK")))</f>
        <v/>
      </c>
      <c r="J325" s="14" t="str">
        <f aca="false">TRIM(K325&amp;L325&amp;M325&amp;N325&amp;O325&amp;P325)</f>
        <v/>
      </c>
      <c r="K325" s="15" t="str">
        <f aca="true">IF(NOT(COUNTA($A325:$H325)&gt;0),"",IF(A325="","Missing date. ",IF(NOT(ISNUMBER(A325)),"Date is not a real date. ",IF(YEAR(A325)&lt;&gt;Settings!$B$4,"Date outside tax year. ",IF(A325&gt;TODAY(),"Date is in the future. ","")))))</f>
        <v/>
      </c>
      <c r="L325" s="15" t="str">
        <f aca="false">IF(NOT(COUNTA($A325:$H325)&gt;0),"",IF(E325="","Missing amount. ",IF(NOT(ISNUMBER(E325)),"Amount is not a number. ",IF(E325&lt;=0,"Amount must be above zero. ",""))))</f>
        <v/>
      </c>
      <c r="M325" s="15" t="str">
        <f aca="false">IF(NOT(COUNTA($A325:$H325)&gt;0),"",IF(D325="","Missing category. ",IF(COUNTIF(Settings!$B$11:$B$40,D325)=0,"Category not in your list. ","")))</f>
        <v/>
      </c>
      <c r="N325" s="15" t="str">
        <f aca="false">IF(AND(ISNUMBER(A325),ISNUMBER(E325),B325&lt;&gt;""),IF(COUNTIFS($A$6:$A$505,A325,$B$6:$B$505,B325,$E$6:$E$505,E325)&gt;1,"Possible duplicate. ",""),"")</f>
        <v/>
      </c>
      <c r="O325" s="15" t="str">
        <f aca="false">IF(AND(ISNUMBER(E325),E325&gt;=Settings!$B$6,G325&lt;&gt;"Yes"),"Receipt not marked as saved. ","")</f>
        <v/>
      </c>
      <c r="P325" s="15" t="str">
        <f aca="false">IF(AND(ISNUMBER(E325),E325&gt;=Settings!$B$5),"Large amount: review. ","")</f>
        <v/>
      </c>
    </row>
    <row r="326" customFormat="false" ht="15" hidden="false" customHeight="false" outlineLevel="0" collapsed="false">
      <c r="A326" s="10"/>
      <c r="B326" s="11"/>
      <c r="C326" s="11"/>
      <c r="D326" s="11"/>
      <c r="E326" s="12"/>
      <c r="F326" s="11"/>
      <c r="G326" s="11"/>
      <c r="H326" s="11"/>
      <c r="I326" s="13" t="str">
        <f aca="false">IF(NOT(COUNTA($A326:$H326)&gt;0),"",IF(K326&amp;L326&amp;M326&lt;&gt;"","ERROR",IF(N326&amp;O326&amp;P326&lt;&gt;"","CHECK","OK")))</f>
        <v/>
      </c>
      <c r="J326" s="14" t="str">
        <f aca="false">TRIM(K326&amp;L326&amp;M326&amp;N326&amp;O326&amp;P326)</f>
        <v/>
      </c>
      <c r="K326" s="15" t="str">
        <f aca="true">IF(NOT(COUNTA($A326:$H326)&gt;0),"",IF(A326="","Missing date. ",IF(NOT(ISNUMBER(A326)),"Date is not a real date. ",IF(YEAR(A326)&lt;&gt;Settings!$B$4,"Date outside tax year. ",IF(A326&gt;TODAY(),"Date is in the future. ","")))))</f>
        <v/>
      </c>
      <c r="L326" s="15" t="str">
        <f aca="false">IF(NOT(COUNTA($A326:$H326)&gt;0),"",IF(E326="","Missing amount. ",IF(NOT(ISNUMBER(E326)),"Amount is not a number. ",IF(E326&lt;=0,"Amount must be above zero. ",""))))</f>
        <v/>
      </c>
      <c r="M326" s="15" t="str">
        <f aca="false">IF(NOT(COUNTA($A326:$H326)&gt;0),"",IF(D326="","Missing category. ",IF(COUNTIF(Settings!$B$11:$B$40,D326)=0,"Category not in your list. ","")))</f>
        <v/>
      </c>
      <c r="N326" s="15" t="str">
        <f aca="false">IF(AND(ISNUMBER(A326),ISNUMBER(E326),B326&lt;&gt;""),IF(COUNTIFS($A$6:$A$505,A326,$B$6:$B$505,B326,$E$6:$E$505,E326)&gt;1,"Possible duplicate. ",""),"")</f>
        <v/>
      </c>
      <c r="O326" s="15" t="str">
        <f aca="false">IF(AND(ISNUMBER(E326),E326&gt;=Settings!$B$6,G326&lt;&gt;"Yes"),"Receipt not marked as saved. ","")</f>
        <v/>
      </c>
      <c r="P326" s="15" t="str">
        <f aca="false">IF(AND(ISNUMBER(E326),E326&gt;=Settings!$B$5),"Large amount: review. ","")</f>
        <v/>
      </c>
    </row>
    <row r="327" customFormat="false" ht="15" hidden="false" customHeight="false" outlineLevel="0" collapsed="false">
      <c r="A327" s="10"/>
      <c r="B327" s="11"/>
      <c r="C327" s="11"/>
      <c r="D327" s="11"/>
      <c r="E327" s="12"/>
      <c r="F327" s="11"/>
      <c r="G327" s="11"/>
      <c r="H327" s="11"/>
      <c r="I327" s="13" t="str">
        <f aca="false">IF(NOT(COUNTA($A327:$H327)&gt;0),"",IF(K327&amp;L327&amp;M327&lt;&gt;"","ERROR",IF(N327&amp;O327&amp;P327&lt;&gt;"","CHECK","OK")))</f>
        <v/>
      </c>
      <c r="J327" s="14" t="str">
        <f aca="false">TRIM(K327&amp;L327&amp;M327&amp;N327&amp;O327&amp;P327)</f>
        <v/>
      </c>
      <c r="K327" s="15" t="str">
        <f aca="true">IF(NOT(COUNTA($A327:$H327)&gt;0),"",IF(A327="","Missing date. ",IF(NOT(ISNUMBER(A327)),"Date is not a real date. ",IF(YEAR(A327)&lt;&gt;Settings!$B$4,"Date outside tax year. ",IF(A327&gt;TODAY(),"Date is in the future. ","")))))</f>
        <v/>
      </c>
      <c r="L327" s="15" t="str">
        <f aca="false">IF(NOT(COUNTA($A327:$H327)&gt;0),"",IF(E327="","Missing amount. ",IF(NOT(ISNUMBER(E327)),"Amount is not a number. ",IF(E327&lt;=0,"Amount must be above zero. ",""))))</f>
        <v/>
      </c>
      <c r="M327" s="15" t="str">
        <f aca="false">IF(NOT(COUNTA($A327:$H327)&gt;0),"",IF(D327="","Missing category. ",IF(COUNTIF(Settings!$B$11:$B$40,D327)=0,"Category not in your list. ","")))</f>
        <v/>
      </c>
      <c r="N327" s="15" t="str">
        <f aca="false">IF(AND(ISNUMBER(A327),ISNUMBER(E327),B327&lt;&gt;""),IF(COUNTIFS($A$6:$A$505,A327,$B$6:$B$505,B327,$E$6:$E$505,E327)&gt;1,"Possible duplicate. ",""),"")</f>
        <v/>
      </c>
      <c r="O327" s="15" t="str">
        <f aca="false">IF(AND(ISNUMBER(E327),E327&gt;=Settings!$B$6,G327&lt;&gt;"Yes"),"Receipt not marked as saved. ","")</f>
        <v/>
      </c>
      <c r="P327" s="15" t="str">
        <f aca="false">IF(AND(ISNUMBER(E327),E327&gt;=Settings!$B$5),"Large amount: review. ","")</f>
        <v/>
      </c>
    </row>
    <row r="328" customFormat="false" ht="15" hidden="false" customHeight="false" outlineLevel="0" collapsed="false">
      <c r="A328" s="10"/>
      <c r="B328" s="11"/>
      <c r="C328" s="11"/>
      <c r="D328" s="11"/>
      <c r="E328" s="12"/>
      <c r="F328" s="11"/>
      <c r="G328" s="11"/>
      <c r="H328" s="11"/>
      <c r="I328" s="13" t="str">
        <f aca="false">IF(NOT(COUNTA($A328:$H328)&gt;0),"",IF(K328&amp;L328&amp;M328&lt;&gt;"","ERROR",IF(N328&amp;O328&amp;P328&lt;&gt;"","CHECK","OK")))</f>
        <v/>
      </c>
      <c r="J328" s="14" t="str">
        <f aca="false">TRIM(K328&amp;L328&amp;M328&amp;N328&amp;O328&amp;P328)</f>
        <v/>
      </c>
      <c r="K328" s="15" t="str">
        <f aca="true">IF(NOT(COUNTA($A328:$H328)&gt;0),"",IF(A328="","Missing date. ",IF(NOT(ISNUMBER(A328)),"Date is not a real date. ",IF(YEAR(A328)&lt;&gt;Settings!$B$4,"Date outside tax year. ",IF(A328&gt;TODAY(),"Date is in the future. ","")))))</f>
        <v/>
      </c>
      <c r="L328" s="15" t="str">
        <f aca="false">IF(NOT(COUNTA($A328:$H328)&gt;0),"",IF(E328="","Missing amount. ",IF(NOT(ISNUMBER(E328)),"Amount is not a number. ",IF(E328&lt;=0,"Amount must be above zero. ",""))))</f>
        <v/>
      </c>
      <c r="M328" s="15" t="str">
        <f aca="false">IF(NOT(COUNTA($A328:$H328)&gt;0),"",IF(D328="","Missing category. ",IF(COUNTIF(Settings!$B$11:$B$40,D328)=0,"Category not in your list. ","")))</f>
        <v/>
      </c>
      <c r="N328" s="15" t="str">
        <f aca="false">IF(AND(ISNUMBER(A328),ISNUMBER(E328),B328&lt;&gt;""),IF(COUNTIFS($A$6:$A$505,A328,$B$6:$B$505,B328,$E$6:$E$505,E328)&gt;1,"Possible duplicate. ",""),"")</f>
        <v/>
      </c>
      <c r="O328" s="15" t="str">
        <f aca="false">IF(AND(ISNUMBER(E328),E328&gt;=Settings!$B$6,G328&lt;&gt;"Yes"),"Receipt not marked as saved. ","")</f>
        <v/>
      </c>
      <c r="P328" s="15" t="str">
        <f aca="false">IF(AND(ISNUMBER(E328),E328&gt;=Settings!$B$5),"Large amount: review. ","")</f>
        <v/>
      </c>
    </row>
    <row r="329" customFormat="false" ht="15" hidden="false" customHeight="false" outlineLevel="0" collapsed="false">
      <c r="A329" s="10"/>
      <c r="B329" s="11"/>
      <c r="C329" s="11"/>
      <c r="D329" s="11"/>
      <c r="E329" s="12"/>
      <c r="F329" s="11"/>
      <c r="G329" s="11"/>
      <c r="H329" s="11"/>
      <c r="I329" s="13" t="str">
        <f aca="false">IF(NOT(COUNTA($A329:$H329)&gt;0),"",IF(K329&amp;L329&amp;M329&lt;&gt;"","ERROR",IF(N329&amp;O329&amp;P329&lt;&gt;"","CHECK","OK")))</f>
        <v/>
      </c>
      <c r="J329" s="14" t="str">
        <f aca="false">TRIM(K329&amp;L329&amp;M329&amp;N329&amp;O329&amp;P329)</f>
        <v/>
      </c>
      <c r="K329" s="15" t="str">
        <f aca="true">IF(NOT(COUNTA($A329:$H329)&gt;0),"",IF(A329="","Missing date. ",IF(NOT(ISNUMBER(A329)),"Date is not a real date. ",IF(YEAR(A329)&lt;&gt;Settings!$B$4,"Date outside tax year. ",IF(A329&gt;TODAY(),"Date is in the future. ","")))))</f>
        <v/>
      </c>
      <c r="L329" s="15" t="str">
        <f aca="false">IF(NOT(COUNTA($A329:$H329)&gt;0),"",IF(E329="","Missing amount. ",IF(NOT(ISNUMBER(E329)),"Amount is not a number. ",IF(E329&lt;=0,"Amount must be above zero. ",""))))</f>
        <v/>
      </c>
      <c r="M329" s="15" t="str">
        <f aca="false">IF(NOT(COUNTA($A329:$H329)&gt;0),"",IF(D329="","Missing category. ",IF(COUNTIF(Settings!$B$11:$B$40,D329)=0,"Category not in your list. ","")))</f>
        <v/>
      </c>
      <c r="N329" s="15" t="str">
        <f aca="false">IF(AND(ISNUMBER(A329),ISNUMBER(E329),B329&lt;&gt;""),IF(COUNTIFS($A$6:$A$505,A329,$B$6:$B$505,B329,$E$6:$E$505,E329)&gt;1,"Possible duplicate. ",""),"")</f>
        <v/>
      </c>
      <c r="O329" s="15" t="str">
        <f aca="false">IF(AND(ISNUMBER(E329),E329&gt;=Settings!$B$6,G329&lt;&gt;"Yes"),"Receipt not marked as saved. ","")</f>
        <v/>
      </c>
      <c r="P329" s="15" t="str">
        <f aca="false">IF(AND(ISNUMBER(E329),E329&gt;=Settings!$B$5),"Large amount: review. ","")</f>
        <v/>
      </c>
    </row>
    <row r="330" customFormat="false" ht="15" hidden="false" customHeight="false" outlineLevel="0" collapsed="false">
      <c r="A330" s="10"/>
      <c r="B330" s="11"/>
      <c r="C330" s="11"/>
      <c r="D330" s="11"/>
      <c r="E330" s="12"/>
      <c r="F330" s="11"/>
      <c r="G330" s="11"/>
      <c r="H330" s="11"/>
      <c r="I330" s="13" t="str">
        <f aca="false">IF(NOT(COUNTA($A330:$H330)&gt;0),"",IF(K330&amp;L330&amp;M330&lt;&gt;"","ERROR",IF(N330&amp;O330&amp;P330&lt;&gt;"","CHECK","OK")))</f>
        <v/>
      </c>
      <c r="J330" s="14" t="str">
        <f aca="false">TRIM(K330&amp;L330&amp;M330&amp;N330&amp;O330&amp;P330)</f>
        <v/>
      </c>
      <c r="K330" s="15" t="str">
        <f aca="true">IF(NOT(COUNTA($A330:$H330)&gt;0),"",IF(A330="","Missing date. ",IF(NOT(ISNUMBER(A330)),"Date is not a real date. ",IF(YEAR(A330)&lt;&gt;Settings!$B$4,"Date outside tax year. ",IF(A330&gt;TODAY(),"Date is in the future. ","")))))</f>
        <v/>
      </c>
      <c r="L330" s="15" t="str">
        <f aca="false">IF(NOT(COUNTA($A330:$H330)&gt;0),"",IF(E330="","Missing amount. ",IF(NOT(ISNUMBER(E330)),"Amount is not a number. ",IF(E330&lt;=0,"Amount must be above zero. ",""))))</f>
        <v/>
      </c>
      <c r="M330" s="15" t="str">
        <f aca="false">IF(NOT(COUNTA($A330:$H330)&gt;0),"",IF(D330="","Missing category. ",IF(COUNTIF(Settings!$B$11:$B$40,D330)=0,"Category not in your list. ","")))</f>
        <v/>
      </c>
      <c r="N330" s="15" t="str">
        <f aca="false">IF(AND(ISNUMBER(A330),ISNUMBER(E330),B330&lt;&gt;""),IF(COUNTIFS($A$6:$A$505,A330,$B$6:$B$505,B330,$E$6:$E$505,E330)&gt;1,"Possible duplicate. ",""),"")</f>
        <v/>
      </c>
      <c r="O330" s="15" t="str">
        <f aca="false">IF(AND(ISNUMBER(E330),E330&gt;=Settings!$B$6,G330&lt;&gt;"Yes"),"Receipt not marked as saved. ","")</f>
        <v/>
      </c>
      <c r="P330" s="15" t="str">
        <f aca="false">IF(AND(ISNUMBER(E330),E330&gt;=Settings!$B$5),"Large amount: review. ","")</f>
        <v/>
      </c>
    </row>
    <row r="331" customFormat="false" ht="15" hidden="false" customHeight="false" outlineLevel="0" collapsed="false">
      <c r="A331" s="10"/>
      <c r="B331" s="11"/>
      <c r="C331" s="11"/>
      <c r="D331" s="11"/>
      <c r="E331" s="12"/>
      <c r="F331" s="11"/>
      <c r="G331" s="11"/>
      <c r="H331" s="11"/>
      <c r="I331" s="13" t="str">
        <f aca="false">IF(NOT(COUNTA($A331:$H331)&gt;0),"",IF(K331&amp;L331&amp;M331&lt;&gt;"","ERROR",IF(N331&amp;O331&amp;P331&lt;&gt;"","CHECK","OK")))</f>
        <v/>
      </c>
      <c r="J331" s="14" t="str">
        <f aca="false">TRIM(K331&amp;L331&amp;M331&amp;N331&amp;O331&amp;P331)</f>
        <v/>
      </c>
      <c r="K331" s="15" t="str">
        <f aca="true">IF(NOT(COUNTA($A331:$H331)&gt;0),"",IF(A331="","Missing date. ",IF(NOT(ISNUMBER(A331)),"Date is not a real date. ",IF(YEAR(A331)&lt;&gt;Settings!$B$4,"Date outside tax year. ",IF(A331&gt;TODAY(),"Date is in the future. ","")))))</f>
        <v/>
      </c>
      <c r="L331" s="15" t="str">
        <f aca="false">IF(NOT(COUNTA($A331:$H331)&gt;0),"",IF(E331="","Missing amount. ",IF(NOT(ISNUMBER(E331)),"Amount is not a number. ",IF(E331&lt;=0,"Amount must be above zero. ",""))))</f>
        <v/>
      </c>
      <c r="M331" s="15" t="str">
        <f aca="false">IF(NOT(COUNTA($A331:$H331)&gt;0),"",IF(D331="","Missing category. ",IF(COUNTIF(Settings!$B$11:$B$40,D331)=0,"Category not in your list. ","")))</f>
        <v/>
      </c>
      <c r="N331" s="15" t="str">
        <f aca="false">IF(AND(ISNUMBER(A331),ISNUMBER(E331),B331&lt;&gt;""),IF(COUNTIFS($A$6:$A$505,A331,$B$6:$B$505,B331,$E$6:$E$505,E331)&gt;1,"Possible duplicate. ",""),"")</f>
        <v/>
      </c>
      <c r="O331" s="15" t="str">
        <f aca="false">IF(AND(ISNUMBER(E331),E331&gt;=Settings!$B$6,G331&lt;&gt;"Yes"),"Receipt not marked as saved. ","")</f>
        <v/>
      </c>
      <c r="P331" s="15" t="str">
        <f aca="false">IF(AND(ISNUMBER(E331),E331&gt;=Settings!$B$5),"Large amount: review. ","")</f>
        <v/>
      </c>
    </row>
    <row r="332" customFormat="false" ht="15" hidden="false" customHeight="false" outlineLevel="0" collapsed="false">
      <c r="A332" s="10"/>
      <c r="B332" s="11"/>
      <c r="C332" s="11"/>
      <c r="D332" s="11"/>
      <c r="E332" s="12"/>
      <c r="F332" s="11"/>
      <c r="G332" s="11"/>
      <c r="H332" s="11"/>
      <c r="I332" s="13" t="str">
        <f aca="false">IF(NOT(COUNTA($A332:$H332)&gt;0),"",IF(K332&amp;L332&amp;M332&lt;&gt;"","ERROR",IF(N332&amp;O332&amp;P332&lt;&gt;"","CHECK","OK")))</f>
        <v/>
      </c>
      <c r="J332" s="14" t="str">
        <f aca="false">TRIM(K332&amp;L332&amp;M332&amp;N332&amp;O332&amp;P332)</f>
        <v/>
      </c>
      <c r="K332" s="15" t="str">
        <f aca="true">IF(NOT(COUNTA($A332:$H332)&gt;0),"",IF(A332="","Missing date. ",IF(NOT(ISNUMBER(A332)),"Date is not a real date. ",IF(YEAR(A332)&lt;&gt;Settings!$B$4,"Date outside tax year. ",IF(A332&gt;TODAY(),"Date is in the future. ","")))))</f>
        <v/>
      </c>
      <c r="L332" s="15" t="str">
        <f aca="false">IF(NOT(COUNTA($A332:$H332)&gt;0),"",IF(E332="","Missing amount. ",IF(NOT(ISNUMBER(E332)),"Amount is not a number. ",IF(E332&lt;=0,"Amount must be above zero. ",""))))</f>
        <v/>
      </c>
      <c r="M332" s="15" t="str">
        <f aca="false">IF(NOT(COUNTA($A332:$H332)&gt;0),"",IF(D332="","Missing category. ",IF(COUNTIF(Settings!$B$11:$B$40,D332)=0,"Category not in your list. ","")))</f>
        <v/>
      </c>
      <c r="N332" s="15" t="str">
        <f aca="false">IF(AND(ISNUMBER(A332),ISNUMBER(E332),B332&lt;&gt;""),IF(COUNTIFS($A$6:$A$505,A332,$B$6:$B$505,B332,$E$6:$E$505,E332)&gt;1,"Possible duplicate. ",""),"")</f>
        <v/>
      </c>
      <c r="O332" s="15" t="str">
        <f aca="false">IF(AND(ISNUMBER(E332),E332&gt;=Settings!$B$6,G332&lt;&gt;"Yes"),"Receipt not marked as saved. ","")</f>
        <v/>
      </c>
      <c r="P332" s="15" t="str">
        <f aca="false">IF(AND(ISNUMBER(E332),E332&gt;=Settings!$B$5),"Large amount: review. ","")</f>
        <v/>
      </c>
    </row>
    <row r="333" customFormat="false" ht="15" hidden="false" customHeight="false" outlineLevel="0" collapsed="false">
      <c r="A333" s="10"/>
      <c r="B333" s="11"/>
      <c r="C333" s="11"/>
      <c r="D333" s="11"/>
      <c r="E333" s="12"/>
      <c r="F333" s="11"/>
      <c r="G333" s="11"/>
      <c r="H333" s="11"/>
      <c r="I333" s="13" t="str">
        <f aca="false">IF(NOT(COUNTA($A333:$H333)&gt;0),"",IF(K333&amp;L333&amp;M333&lt;&gt;"","ERROR",IF(N333&amp;O333&amp;P333&lt;&gt;"","CHECK","OK")))</f>
        <v/>
      </c>
      <c r="J333" s="14" t="str">
        <f aca="false">TRIM(K333&amp;L333&amp;M333&amp;N333&amp;O333&amp;P333)</f>
        <v/>
      </c>
      <c r="K333" s="15" t="str">
        <f aca="true">IF(NOT(COUNTA($A333:$H333)&gt;0),"",IF(A333="","Missing date. ",IF(NOT(ISNUMBER(A333)),"Date is not a real date. ",IF(YEAR(A333)&lt;&gt;Settings!$B$4,"Date outside tax year. ",IF(A333&gt;TODAY(),"Date is in the future. ","")))))</f>
        <v/>
      </c>
      <c r="L333" s="15" t="str">
        <f aca="false">IF(NOT(COUNTA($A333:$H333)&gt;0),"",IF(E333="","Missing amount. ",IF(NOT(ISNUMBER(E333)),"Amount is not a number. ",IF(E333&lt;=0,"Amount must be above zero. ",""))))</f>
        <v/>
      </c>
      <c r="M333" s="15" t="str">
        <f aca="false">IF(NOT(COUNTA($A333:$H333)&gt;0),"",IF(D333="","Missing category. ",IF(COUNTIF(Settings!$B$11:$B$40,D333)=0,"Category not in your list. ","")))</f>
        <v/>
      </c>
      <c r="N333" s="15" t="str">
        <f aca="false">IF(AND(ISNUMBER(A333),ISNUMBER(E333),B333&lt;&gt;""),IF(COUNTIFS($A$6:$A$505,A333,$B$6:$B$505,B333,$E$6:$E$505,E333)&gt;1,"Possible duplicate. ",""),"")</f>
        <v/>
      </c>
      <c r="O333" s="15" t="str">
        <f aca="false">IF(AND(ISNUMBER(E333),E333&gt;=Settings!$B$6,G333&lt;&gt;"Yes"),"Receipt not marked as saved. ","")</f>
        <v/>
      </c>
      <c r="P333" s="15" t="str">
        <f aca="false">IF(AND(ISNUMBER(E333),E333&gt;=Settings!$B$5),"Large amount: review. ","")</f>
        <v/>
      </c>
    </row>
    <row r="334" customFormat="false" ht="15" hidden="false" customHeight="false" outlineLevel="0" collapsed="false">
      <c r="A334" s="10"/>
      <c r="B334" s="11"/>
      <c r="C334" s="11"/>
      <c r="D334" s="11"/>
      <c r="E334" s="12"/>
      <c r="F334" s="11"/>
      <c r="G334" s="11"/>
      <c r="H334" s="11"/>
      <c r="I334" s="13" t="str">
        <f aca="false">IF(NOT(COUNTA($A334:$H334)&gt;0),"",IF(K334&amp;L334&amp;M334&lt;&gt;"","ERROR",IF(N334&amp;O334&amp;P334&lt;&gt;"","CHECK","OK")))</f>
        <v/>
      </c>
      <c r="J334" s="14" t="str">
        <f aca="false">TRIM(K334&amp;L334&amp;M334&amp;N334&amp;O334&amp;P334)</f>
        <v/>
      </c>
      <c r="K334" s="15" t="str">
        <f aca="true">IF(NOT(COUNTA($A334:$H334)&gt;0),"",IF(A334="","Missing date. ",IF(NOT(ISNUMBER(A334)),"Date is not a real date. ",IF(YEAR(A334)&lt;&gt;Settings!$B$4,"Date outside tax year. ",IF(A334&gt;TODAY(),"Date is in the future. ","")))))</f>
        <v/>
      </c>
      <c r="L334" s="15" t="str">
        <f aca="false">IF(NOT(COUNTA($A334:$H334)&gt;0),"",IF(E334="","Missing amount. ",IF(NOT(ISNUMBER(E334)),"Amount is not a number. ",IF(E334&lt;=0,"Amount must be above zero. ",""))))</f>
        <v/>
      </c>
      <c r="M334" s="15" t="str">
        <f aca="false">IF(NOT(COUNTA($A334:$H334)&gt;0),"",IF(D334="","Missing category. ",IF(COUNTIF(Settings!$B$11:$B$40,D334)=0,"Category not in your list. ","")))</f>
        <v/>
      </c>
      <c r="N334" s="15" t="str">
        <f aca="false">IF(AND(ISNUMBER(A334),ISNUMBER(E334),B334&lt;&gt;""),IF(COUNTIFS($A$6:$A$505,A334,$B$6:$B$505,B334,$E$6:$E$505,E334)&gt;1,"Possible duplicate. ",""),"")</f>
        <v/>
      </c>
      <c r="O334" s="15" t="str">
        <f aca="false">IF(AND(ISNUMBER(E334),E334&gt;=Settings!$B$6,G334&lt;&gt;"Yes"),"Receipt not marked as saved. ","")</f>
        <v/>
      </c>
      <c r="P334" s="15" t="str">
        <f aca="false">IF(AND(ISNUMBER(E334),E334&gt;=Settings!$B$5),"Large amount: review. ","")</f>
        <v/>
      </c>
    </row>
    <row r="335" customFormat="false" ht="15" hidden="false" customHeight="false" outlineLevel="0" collapsed="false">
      <c r="A335" s="10"/>
      <c r="B335" s="11"/>
      <c r="C335" s="11"/>
      <c r="D335" s="11"/>
      <c r="E335" s="12"/>
      <c r="F335" s="11"/>
      <c r="G335" s="11"/>
      <c r="H335" s="11"/>
      <c r="I335" s="13" t="str">
        <f aca="false">IF(NOT(COUNTA($A335:$H335)&gt;0),"",IF(K335&amp;L335&amp;M335&lt;&gt;"","ERROR",IF(N335&amp;O335&amp;P335&lt;&gt;"","CHECK","OK")))</f>
        <v/>
      </c>
      <c r="J335" s="14" t="str">
        <f aca="false">TRIM(K335&amp;L335&amp;M335&amp;N335&amp;O335&amp;P335)</f>
        <v/>
      </c>
      <c r="K335" s="15" t="str">
        <f aca="true">IF(NOT(COUNTA($A335:$H335)&gt;0),"",IF(A335="","Missing date. ",IF(NOT(ISNUMBER(A335)),"Date is not a real date. ",IF(YEAR(A335)&lt;&gt;Settings!$B$4,"Date outside tax year. ",IF(A335&gt;TODAY(),"Date is in the future. ","")))))</f>
        <v/>
      </c>
      <c r="L335" s="15" t="str">
        <f aca="false">IF(NOT(COUNTA($A335:$H335)&gt;0),"",IF(E335="","Missing amount. ",IF(NOT(ISNUMBER(E335)),"Amount is not a number. ",IF(E335&lt;=0,"Amount must be above zero. ",""))))</f>
        <v/>
      </c>
      <c r="M335" s="15" t="str">
        <f aca="false">IF(NOT(COUNTA($A335:$H335)&gt;0),"",IF(D335="","Missing category. ",IF(COUNTIF(Settings!$B$11:$B$40,D335)=0,"Category not in your list. ","")))</f>
        <v/>
      </c>
      <c r="N335" s="15" t="str">
        <f aca="false">IF(AND(ISNUMBER(A335),ISNUMBER(E335),B335&lt;&gt;""),IF(COUNTIFS($A$6:$A$505,A335,$B$6:$B$505,B335,$E$6:$E$505,E335)&gt;1,"Possible duplicate. ",""),"")</f>
        <v/>
      </c>
      <c r="O335" s="15" t="str">
        <f aca="false">IF(AND(ISNUMBER(E335),E335&gt;=Settings!$B$6,G335&lt;&gt;"Yes"),"Receipt not marked as saved. ","")</f>
        <v/>
      </c>
      <c r="P335" s="15" t="str">
        <f aca="false">IF(AND(ISNUMBER(E335),E335&gt;=Settings!$B$5),"Large amount: review. ","")</f>
        <v/>
      </c>
    </row>
    <row r="336" customFormat="false" ht="15" hidden="false" customHeight="false" outlineLevel="0" collapsed="false">
      <c r="A336" s="10"/>
      <c r="B336" s="11"/>
      <c r="C336" s="11"/>
      <c r="D336" s="11"/>
      <c r="E336" s="12"/>
      <c r="F336" s="11"/>
      <c r="G336" s="11"/>
      <c r="H336" s="11"/>
      <c r="I336" s="13" t="str">
        <f aca="false">IF(NOT(COUNTA($A336:$H336)&gt;0),"",IF(K336&amp;L336&amp;M336&lt;&gt;"","ERROR",IF(N336&amp;O336&amp;P336&lt;&gt;"","CHECK","OK")))</f>
        <v/>
      </c>
      <c r="J336" s="14" t="str">
        <f aca="false">TRIM(K336&amp;L336&amp;M336&amp;N336&amp;O336&amp;P336)</f>
        <v/>
      </c>
      <c r="K336" s="15" t="str">
        <f aca="true">IF(NOT(COUNTA($A336:$H336)&gt;0),"",IF(A336="","Missing date. ",IF(NOT(ISNUMBER(A336)),"Date is not a real date. ",IF(YEAR(A336)&lt;&gt;Settings!$B$4,"Date outside tax year. ",IF(A336&gt;TODAY(),"Date is in the future. ","")))))</f>
        <v/>
      </c>
      <c r="L336" s="15" t="str">
        <f aca="false">IF(NOT(COUNTA($A336:$H336)&gt;0),"",IF(E336="","Missing amount. ",IF(NOT(ISNUMBER(E336)),"Amount is not a number. ",IF(E336&lt;=0,"Amount must be above zero. ",""))))</f>
        <v/>
      </c>
      <c r="M336" s="15" t="str">
        <f aca="false">IF(NOT(COUNTA($A336:$H336)&gt;0),"",IF(D336="","Missing category. ",IF(COUNTIF(Settings!$B$11:$B$40,D336)=0,"Category not in your list. ","")))</f>
        <v/>
      </c>
      <c r="N336" s="15" t="str">
        <f aca="false">IF(AND(ISNUMBER(A336),ISNUMBER(E336),B336&lt;&gt;""),IF(COUNTIFS($A$6:$A$505,A336,$B$6:$B$505,B336,$E$6:$E$505,E336)&gt;1,"Possible duplicate. ",""),"")</f>
        <v/>
      </c>
      <c r="O336" s="15" t="str">
        <f aca="false">IF(AND(ISNUMBER(E336),E336&gt;=Settings!$B$6,G336&lt;&gt;"Yes"),"Receipt not marked as saved. ","")</f>
        <v/>
      </c>
      <c r="P336" s="15" t="str">
        <f aca="false">IF(AND(ISNUMBER(E336),E336&gt;=Settings!$B$5),"Large amount: review. ","")</f>
        <v/>
      </c>
    </row>
    <row r="337" customFormat="false" ht="15" hidden="false" customHeight="false" outlineLevel="0" collapsed="false">
      <c r="A337" s="10"/>
      <c r="B337" s="11"/>
      <c r="C337" s="11"/>
      <c r="D337" s="11"/>
      <c r="E337" s="12"/>
      <c r="F337" s="11"/>
      <c r="G337" s="11"/>
      <c r="H337" s="11"/>
      <c r="I337" s="13" t="str">
        <f aca="false">IF(NOT(COUNTA($A337:$H337)&gt;0),"",IF(K337&amp;L337&amp;M337&lt;&gt;"","ERROR",IF(N337&amp;O337&amp;P337&lt;&gt;"","CHECK","OK")))</f>
        <v/>
      </c>
      <c r="J337" s="14" t="str">
        <f aca="false">TRIM(K337&amp;L337&amp;M337&amp;N337&amp;O337&amp;P337)</f>
        <v/>
      </c>
      <c r="K337" s="15" t="str">
        <f aca="true">IF(NOT(COUNTA($A337:$H337)&gt;0),"",IF(A337="","Missing date. ",IF(NOT(ISNUMBER(A337)),"Date is not a real date. ",IF(YEAR(A337)&lt;&gt;Settings!$B$4,"Date outside tax year. ",IF(A337&gt;TODAY(),"Date is in the future. ","")))))</f>
        <v/>
      </c>
      <c r="L337" s="15" t="str">
        <f aca="false">IF(NOT(COUNTA($A337:$H337)&gt;0),"",IF(E337="","Missing amount. ",IF(NOT(ISNUMBER(E337)),"Amount is not a number. ",IF(E337&lt;=0,"Amount must be above zero. ",""))))</f>
        <v/>
      </c>
      <c r="M337" s="15" t="str">
        <f aca="false">IF(NOT(COUNTA($A337:$H337)&gt;0),"",IF(D337="","Missing category. ",IF(COUNTIF(Settings!$B$11:$B$40,D337)=0,"Category not in your list. ","")))</f>
        <v/>
      </c>
      <c r="N337" s="15" t="str">
        <f aca="false">IF(AND(ISNUMBER(A337),ISNUMBER(E337),B337&lt;&gt;""),IF(COUNTIFS($A$6:$A$505,A337,$B$6:$B$505,B337,$E$6:$E$505,E337)&gt;1,"Possible duplicate. ",""),"")</f>
        <v/>
      </c>
      <c r="O337" s="15" t="str">
        <f aca="false">IF(AND(ISNUMBER(E337),E337&gt;=Settings!$B$6,G337&lt;&gt;"Yes"),"Receipt not marked as saved. ","")</f>
        <v/>
      </c>
      <c r="P337" s="15" t="str">
        <f aca="false">IF(AND(ISNUMBER(E337),E337&gt;=Settings!$B$5),"Large amount: review. ","")</f>
        <v/>
      </c>
    </row>
    <row r="338" customFormat="false" ht="15" hidden="false" customHeight="false" outlineLevel="0" collapsed="false">
      <c r="A338" s="10"/>
      <c r="B338" s="11"/>
      <c r="C338" s="11"/>
      <c r="D338" s="11"/>
      <c r="E338" s="12"/>
      <c r="F338" s="11"/>
      <c r="G338" s="11"/>
      <c r="H338" s="11"/>
      <c r="I338" s="13" t="str">
        <f aca="false">IF(NOT(COUNTA($A338:$H338)&gt;0),"",IF(K338&amp;L338&amp;M338&lt;&gt;"","ERROR",IF(N338&amp;O338&amp;P338&lt;&gt;"","CHECK","OK")))</f>
        <v/>
      </c>
      <c r="J338" s="14" t="str">
        <f aca="false">TRIM(K338&amp;L338&amp;M338&amp;N338&amp;O338&amp;P338)</f>
        <v/>
      </c>
      <c r="K338" s="15" t="str">
        <f aca="true">IF(NOT(COUNTA($A338:$H338)&gt;0),"",IF(A338="","Missing date. ",IF(NOT(ISNUMBER(A338)),"Date is not a real date. ",IF(YEAR(A338)&lt;&gt;Settings!$B$4,"Date outside tax year. ",IF(A338&gt;TODAY(),"Date is in the future. ","")))))</f>
        <v/>
      </c>
      <c r="L338" s="15" t="str">
        <f aca="false">IF(NOT(COUNTA($A338:$H338)&gt;0),"",IF(E338="","Missing amount. ",IF(NOT(ISNUMBER(E338)),"Amount is not a number. ",IF(E338&lt;=0,"Amount must be above zero. ",""))))</f>
        <v/>
      </c>
      <c r="M338" s="15" t="str">
        <f aca="false">IF(NOT(COUNTA($A338:$H338)&gt;0),"",IF(D338="","Missing category. ",IF(COUNTIF(Settings!$B$11:$B$40,D338)=0,"Category not in your list. ","")))</f>
        <v/>
      </c>
      <c r="N338" s="15" t="str">
        <f aca="false">IF(AND(ISNUMBER(A338),ISNUMBER(E338),B338&lt;&gt;""),IF(COUNTIFS($A$6:$A$505,A338,$B$6:$B$505,B338,$E$6:$E$505,E338)&gt;1,"Possible duplicate. ",""),"")</f>
        <v/>
      </c>
      <c r="O338" s="15" t="str">
        <f aca="false">IF(AND(ISNUMBER(E338),E338&gt;=Settings!$B$6,G338&lt;&gt;"Yes"),"Receipt not marked as saved. ","")</f>
        <v/>
      </c>
      <c r="P338" s="15" t="str">
        <f aca="false">IF(AND(ISNUMBER(E338),E338&gt;=Settings!$B$5),"Large amount: review. ","")</f>
        <v/>
      </c>
    </row>
    <row r="339" customFormat="false" ht="15" hidden="false" customHeight="false" outlineLevel="0" collapsed="false">
      <c r="A339" s="10"/>
      <c r="B339" s="11"/>
      <c r="C339" s="11"/>
      <c r="D339" s="11"/>
      <c r="E339" s="12"/>
      <c r="F339" s="11"/>
      <c r="G339" s="11"/>
      <c r="H339" s="11"/>
      <c r="I339" s="13" t="str">
        <f aca="false">IF(NOT(COUNTA($A339:$H339)&gt;0),"",IF(K339&amp;L339&amp;M339&lt;&gt;"","ERROR",IF(N339&amp;O339&amp;P339&lt;&gt;"","CHECK","OK")))</f>
        <v/>
      </c>
      <c r="J339" s="14" t="str">
        <f aca="false">TRIM(K339&amp;L339&amp;M339&amp;N339&amp;O339&amp;P339)</f>
        <v/>
      </c>
      <c r="K339" s="15" t="str">
        <f aca="true">IF(NOT(COUNTA($A339:$H339)&gt;0),"",IF(A339="","Missing date. ",IF(NOT(ISNUMBER(A339)),"Date is not a real date. ",IF(YEAR(A339)&lt;&gt;Settings!$B$4,"Date outside tax year. ",IF(A339&gt;TODAY(),"Date is in the future. ","")))))</f>
        <v/>
      </c>
      <c r="L339" s="15" t="str">
        <f aca="false">IF(NOT(COUNTA($A339:$H339)&gt;0),"",IF(E339="","Missing amount. ",IF(NOT(ISNUMBER(E339)),"Amount is not a number. ",IF(E339&lt;=0,"Amount must be above zero. ",""))))</f>
        <v/>
      </c>
      <c r="M339" s="15" t="str">
        <f aca="false">IF(NOT(COUNTA($A339:$H339)&gt;0),"",IF(D339="","Missing category. ",IF(COUNTIF(Settings!$B$11:$B$40,D339)=0,"Category not in your list. ","")))</f>
        <v/>
      </c>
      <c r="N339" s="15" t="str">
        <f aca="false">IF(AND(ISNUMBER(A339),ISNUMBER(E339),B339&lt;&gt;""),IF(COUNTIFS($A$6:$A$505,A339,$B$6:$B$505,B339,$E$6:$E$505,E339)&gt;1,"Possible duplicate. ",""),"")</f>
        <v/>
      </c>
      <c r="O339" s="15" t="str">
        <f aca="false">IF(AND(ISNUMBER(E339),E339&gt;=Settings!$B$6,G339&lt;&gt;"Yes"),"Receipt not marked as saved. ","")</f>
        <v/>
      </c>
      <c r="P339" s="15" t="str">
        <f aca="false">IF(AND(ISNUMBER(E339),E339&gt;=Settings!$B$5),"Large amount: review. ","")</f>
        <v/>
      </c>
    </row>
    <row r="340" customFormat="false" ht="15" hidden="false" customHeight="false" outlineLevel="0" collapsed="false">
      <c r="A340" s="10"/>
      <c r="B340" s="11"/>
      <c r="C340" s="11"/>
      <c r="D340" s="11"/>
      <c r="E340" s="12"/>
      <c r="F340" s="11"/>
      <c r="G340" s="11"/>
      <c r="H340" s="11"/>
      <c r="I340" s="13" t="str">
        <f aca="false">IF(NOT(COUNTA($A340:$H340)&gt;0),"",IF(K340&amp;L340&amp;M340&lt;&gt;"","ERROR",IF(N340&amp;O340&amp;P340&lt;&gt;"","CHECK","OK")))</f>
        <v/>
      </c>
      <c r="J340" s="14" t="str">
        <f aca="false">TRIM(K340&amp;L340&amp;M340&amp;N340&amp;O340&amp;P340)</f>
        <v/>
      </c>
      <c r="K340" s="15" t="str">
        <f aca="true">IF(NOT(COUNTA($A340:$H340)&gt;0),"",IF(A340="","Missing date. ",IF(NOT(ISNUMBER(A340)),"Date is not a real date. ",IF(YEAR(A340)&lt;&gt;Settings!$B$4,"Date outside tax year. ",IF(A340&gt;TODAY(),"Date is in the future. ","")))))</f>
        <v/>
      </c>
      <c r="L340" s="15" t="str">
        <f aca="false">IF(NOT(COUNTA($A340:$H340)&gt;0),"",IF(E340="","Missing amount. ",IF(NOT(ISNUMBER(E340)),"Amount is not a number. ",IF(E340&lt;=0,"Amount must be above zero. ",""))))</f>
        <v/>
      </c>
      <c r="M340" s="15" t="str">
        <f aca="false">IF(NOT(COUNTA($A340:$H340)&gt;0),"",IF(D340="","Missing category. ",IF(COUNTIF(Settings!$B$11:$B$40,D340)=0,"Category not in your list. ","")))</f>
        <v/>
      </c>
      <c r="N340" s="15" t="str">
        <f aca="false">IF(AND(ISNUMBER(A340),ISNUMBER(E340),B340&lt;&gt;""),IF(COUNTIFS($A$6:$A$505,A340,$B$6:$B$505,B340,$E$6:$E$505,E340)&gt;1,"Possible duplicate. ",""),"")</f>
        <v/>
      </c>
      <c r="O340" s="15" t="str">
        <f aca="false">IF(AND(ISNUMBER(E340),E340&gt;=Settings!$B$6,G340&lt;&gt;"Yes"),"Receipt not marked as saved. ","")</f>
        <v/>
      </c>
      <c r="P340" s="15" t="str">
        <f aca="false">IF(AND(ISNUMBER(E340),E340&gt;=Settings!$B$5),"Large amount: review. ","")</f>
        <v/>
      </c>
    </row>
    <row r="341" customFormat="false" ht="15" hidden="false" customHeight="false" outlineLevel="0" collapsed="false">
      <c r="A341" s="10"/>
      <c r="B341" s="11"/>
      <c r="C341" s="11"/>
      <c r="D341" s="11"/>
      <c r="E341" s="12"/>
      <c r="F341" s="11"/>
      <c r="G341" s="11"/>
      <c r="H341" s="11"/>
      <c r="I341" s="13" t="str">
        <f aca="false">IF(NOT(COUNTA($A341:$H341)&gt;0),"",IF(K341&amp;L341&amp;M341&lt;&gt;"","ERROR",IF(N341&amp;O341&amp;P341&lt;&gt;"","CHECK","OK")))</f>
        <v/>
      </c>
      <c r="J341" s="14" t="str">
        <f aca="false">TRIM(K341&amp;L341&amp;M341&amp;N341&amp;O341&amp;P341)</f>
        <v/>
      </c>
      <c r="K341" s="15" t="str">
        <f aca="true">IF(NOT(COUNTA($A341:$H341)&gt;0),"",IF(A341="","Missing date. ",IF(NOT(ISNUMBER(A341)),"Date is not a real date. ",IF(YEAR(A341)&lt;&gt;Settings!$B$4,"Date outside tax year. ",IF(A341&gt;TODAY(),"Date is in the future. ","")))))</f>
        <v/>
      </c>
      <c r="L341" s="15" t="str">
        <f aca="false">IF(NOT(COUNTA($A341:$H341)&gt;0),"",IF(E341="","Missing amount. ",IF(NOT(ISNUMBER(E341)),"Amount is not a number. ",IF(E341&lt;=0,"Amount must be above zero. ",""))))</f>
        <v/>
      </c>
      <c r="M341" s="15" t="str">
        <f aca="false">IF(NOT(COUNTA($A341:$H341)&gt;0),"",IF(D341="","Missing category. ",IF(COUNTIF(Settings!$B$11:$B$40,D341)=0,"Category not in your list. ","")))</f>
        <v/>
      </c>
      <c r="N341" s="15" t="str">
        <f aca="false">IF(AND(ISNUMBER(A341),ISNUMBER(E341),B341&lt;&gt;""),IF(COUNTIFS($A$6:$A$505,A341,$B$6:$B$505,B341,$E$6:$E$505,E341)&gt;1,"Possible duplicate. ",""),"")</f>
        <v/>
      </c>
      <c r="O341" s="15" t="str">
        <f aca="false">IF(AND(ISNUMBER(E341),E341&gt;=Settings!$B$6,G341&lt;&gt;"Yes"),"Receipt not marked as saved. ","")</f>
        <v/>
      </c>
      <c r="P341" s="15" t="str">
        <f aca="false">IF(AND(ISNUMBER(E341),E341&gt;=Settings!$B$5),"Large amount: review. ","")</f>
        <v/>
      </c>
    </row>
    <row r="342" customFormat="false" ht="15" hidden="false" customHeight="false" outlineLevel="0" collapsed="false">
      <c r="A342" s="10"/>
      <c r="B342" s="11"/>
      <c r="C342" s="11"/>
      <c r="D342" s="11"/>
      <c r="E342" s="12"/>
      <c r="F342" s="11"/>
      <c r="G342" s="11"/>
      <c r="H342" s="11"/>
      <c r="I342" s="13" t="str">
        <f aca="false">IF(NOT(COUNTA($A342:$H342)&gt;0),"",IF(K342&amp;L342&amp;M342&lt;&gt;"","ERROR",IF(N342&amp;O342&amp;P342&lt;&gt;"","CHECK","OK")))</f>
        <v/>
      </c>
      <c r="J342" s="14" t="str">
        <f aca="false">TRIM(K342&amp;L342&amp;M342&amp;N342&amp;O342&amp;P342)</f>
        <v/>
      </c>
      <c r="K342" s="15" t="str">
        <f aca="true">IF(NOT(COUNTA($A342:$H342)&gt;0),"",IF(A342="","Missing date. ",IF(NOT(ISNUMBER(A342)),"Date is not a real date. ",IF(YEAR(A342)&lt;&gt;Settings!$B$4,"Date outside tax year. ",IF(A342&gt;TODAY(),"Date is in the future. ","")))))</f>
        <v/>
      </c>
      <c r="L342" s="15" t="str">
        <f aca="false">IF(NOT(COUNTA($A342:$H342)&gt;0),"",IF(E342="","Missing amount. ",IF(NOT(ISNUMBER(E342)),"Amount is not a number. ",IF(E342&lt;=0,"Amount must be above zero. ",""))))</f>
        <v/>
      </c>
      <c r="M342" s="15" t="str">
        <f aca="false">IF(NOT(COUNTA($A342:$H342)&gt;0),"",IF(D342="","Missing category. ",IF(COUNTIF(Settings!$B$11:$B$40,D342)=0,"Category not in your list. ","")))</f>
        <v/>
      </c>
      <c r="N342" s="15" t="str">
        <f aca="false">IF(AND(ISNUMBER(A342),ISNUMBER(E342),B342&lt;&gt;""),IF(COUNTIFS($A$6:$A$505,A342,$B$6:$B$505,B342,$E$6:$E$505,E342)&gt;1,"Possible duplicate. ",""),"")</f>
        <v/>
      </c>
      <c r="O342" s="15" t="str">
        <f aca="false">IF(AND(ISNUMBER(E342),E342&gt;=Settings!$B$6,G342&lt;&gt;"Yes"),"Receipt not marked as saved. ","")</f>
        <v/>
      </c>
      <c r="P342" s="15" t="str">
        <f aca="false">IF(AND(ISNUMBER(E342),E342&gt;=Settings!$B$5),"Large amount: review. ","")</f>
        <v/>
      </c>
    </row>
    <row r="343" customFormat="false" ht="15" hidden="false" customHeight="false" outlineLevel="0" collapsed="false">
      <c r="A343" s="10"/>
      <c r="B343" s="11"/>
      <c r="C343" s="11"/>
      <c r="D343" s="11"/>
      <c r="E343" s="12"/>
      <c r="F343" s="11"/>
      <c r="G343" s="11"/>
      <c r="H343" s="11"/>
      <c r="I343" s="13" t="str">
        <f aca="false">IF(NOT(COUNTA($A343:$H343)&gt;0),"",IF(K343&amp;L343&amp;M343&lt;&gt;"","ERROR",IF(N343&amp;O343&amp;P343&lt;&gt;"","CHECK","OK")))</f>
        <v/>
      </c>
      <c r="J343" s="14" t="str">
        <f aca="false">TRIM(K343&amp;L343&amp;M343&amp;N343&amp;O343&amp;P343)</f>
        <v/>
      </c>
      <c r="K343" s="15" t="str">
        <f aca="true">IF(NOT(COUNTA($A343:$H343)&gt;0),"",IF(A343="","Missing date. ",IF(NOT(ISNUMBER(A343)),"Date is not a real date. ",IF(YEAR(A343)&lt;&gt;Settings!$B$4,"Date outside tax year. ",IF(A343&gt;TODAY(),"Date is in the future. ","")))))</f>
        <v/>
      </c>
      <c r="L343" s="15" t="str">
        <f aca="false">IF(NOT(COUNTA($A343:$H343)&gt;0),"",IF(E343="","Missing amount. ",IF(NOT(ISNUMBER(E343)),"Amount is not a number. ",IF(E343&lt;=0,"Amount must be above zero. ",""))))</f>
        <v/>
      </c>
      <c r="M343" s="15" t="str">
        <f aca="false">IF(NOT(COUNTA($A343:$H343)&gt;0),"",IF(D343="","Missing category. ",IF(COUNTIF(Settings!$B$11:$B$40,D343)=0,"Category not in your list. ","")))</f>
        <v/>
      </c>
      <c r="N343" s="15" t="str">
        <f aca="false">IF(AND(ISNUMBER(A343),ISNUMBER(E343),B343&lt;&gt;""),IF(COUNTIFS($A$6:$A$505,A343,$B$6:$B$505,B343,$E$6:$E$505,E343)&gt;1,"Possible duplicate. ",""),"")</f>
        <v/>
      </c>
      <c r="O343" s="15" t="str">
        <f aca="false">IF(AND(ISNUMBER(E343),E343&gt;=Settings!$B$6,G343&lt;&gt;"Yes"),"Receipt not marked as saved. ","")</f>
        <v/>
      </c>
      <c r="P343" s="15" t="str">
        <f aca="false">IF(AND(ISNUMBER(E343),E343&gt;=Settings!$B$5),"Large amount: review. ","")</f>
        <v/>
      </c>
    </row>
    <row r="344" customFormat="false" ht="15" hidden="false" customHeight="false" outlineLevel="0" collapsed="false">
      <c r="A344" s="10"/>
      <c r="B344" s="11"/>
      <c r="C344" s="11"/>
      <c r="D344" s="11"/>
      <c r="E344" s="12"/>
      <c r="F344" s="11"/>
      <c r="G344" s="11"/>
      <c r="H344" s="11"/>
      <c r="I344" s="13" t="str">
        <f aca="false">IF(NOT(COUNTA($A344:$H344)&gt;0),"",IF(K344&amp;L344&amp;M344&lt;&gt;"","ERROR",IF(N344&amp;O344&amp;P344&lt;&gt;"","CHECK","OK")))</f>
        <v/>
      </c>
      <c r="J344" s="14" t="str">
        <f aca="false">TRIM(K344&amp;L344&amp;M344&amp;N344&amp;O344&amp;P344)</f>
        <v/>
      </c>
      <c r="K344" s="15" t="str">
        <f aca="true">IF(NOT(COUNTA($A344:$H344)&gt;0),"",IF(A344="","Missing date. ",IF(NOT(ISNUMBER(A344)),"Date is not a real date. ",IF(YEAR(A344)&lt;&gt;Settings!$B$4,"Date outside tax year. ",IF(A344&gt;TODAY(),"Date is in the future. ","")))))</f>
        <v/>
      </c>
      <c r="L344" s="15" t="str">
        <f aca="false">IF(NOT(COUNTA($A344:$H344)&gt;0),"",IF(E344="","Missing amount. ",IF(NOT(ISNUMBER(E344)),"Amount is not a number. ",IF(E344&lt;=0,"Amount must be above zero. ",""))))</f>
        <v/>
      </c>
      <c r="M344" s="15" t="str">
        <f aca="false">IF(NOT(COUNTA($A344:$H344)&gt;0),"",IF(D344="","Missing category. ",IF(COUNTIF(Settings!$B$11:$B$40,D344)=0,"Category not in your list. ","")))</f>
        <v/>
      </c>
      <c r="N344" s="15" t="str">
        <f aca="false">IF(AND(ISNUMBER(A344),ISNUMBER(E344),B344&lt;&gt;""),IF(COUNTIFS($A$6:$A$505,A344,$B$6:$B$505,B344,$E$6:$E$505,E344)&gt;1,"Possible duplicate. ",""),"")</f>
        <v/>
      </c>
      <c r="O344" s="15" t="str">
        <f aca="false">IF(AND(ISNUMBER(E344),E344&gt;=Settings!$B$6,G344&lt;&gt;"Yes"),"Receipt not marked as saved. ","")</f>
        <v/>
      </c>
      <c r="P344" s="15" t="str">
        <f aca="false">IF(AND(ISNUMBER(E344),E344&gt;=Settings!$B$5),"Large amount: review. ","")</f>
        <v/>
      </c>
    </row>
    <row r="345" customFormat="false" ht="15" hidden="false" customHeight="false" outlineLevel="0" collapsed="false">
      <c r="A345" s="10"/>
      <c r="B345" s="11"/>
      <c r="C345" s="11"/>
      <c r="D345" s="11"/>
      <c r="E345" s="12"/>
      <c r="F345" s="11"/>
      <c r="G345" s="11"/>
      <c r="H345" s="11"/>
      <c r="I345" s="13" t="str">
        <f aca="false">IF(NOT(COUNTA($A345:$H345)&gt;0),"",IF(K345&amp;L345&amp;M345&lt;&gt;"","ERROR",IF(N345&amp;O345&amp;P345&lt;&gt;"","CHECK","OK")))</f>
        <v/>
      </c>
      <c r="J345" s="14" t="str">
        <f aca="false">TRIM(K345&amp;L345&amp;M345&amp;N345&amp;O345&amp;P345)</f>
        <v/>
      </c>
      <c r="K345" s="15" t="str">
        <f aca="true">IF(NOT(COUNTA($A345:$H345)&gt;0),"",IF(A345="","Missing date. ",IF(NOT(ISNUMBER(A345)),"Date is not a real date. ",IF(YEAR(A345)&lt;&gt;Settings!$B$4,"Date outside tax year. ",IF(A345&gt;TODAY(),"Date is in the future. ","")))))</f>
        <v/>
      </c>
      <c r="L345" s="15" t="str">
        <f aca="false">IF(NOT(COUNTA($A345:$H345)&gt;0),"",IF(E345="","Missing amount. ",IF(NOT(ISNUMBER(E345)),"Amount is not a number. ",IF(E345&lt;=0,"Amount must be above zero. ",""))))</f>
        <v/>
      </c>
      <c r="M345" s="15" t="str">
        <f aca="false">IF(NOT(COUNTA($A345:$H345)&gt;0),"",IF(D345="","Missing category. ",IF(COUNTIF(Settings!$B$11:$B$40,D345)=0,"Category not in your list. ","")))</f>
        <v/>
      </c>
      <c r="N345" s="15" t="str">
        <f aca="false">IF(AND(ISNUMBER(A345),ISNUMBER(E345),B345&lt;&gt;""),IF(COUNTIFS($A$6:$A$505,A345,$B$6:$B$505,B345,$E$6:$E$505,E345)&gt;1,"Possible duplicate. ",""),"")</f>
        <v/>
      </c>
      <c r="O345" s="15" t="str">
        <f aca="false">IF(AND(ISNUMBER(E345),E345&gt;=Settings!$B$6,G345&lt;&gt;"Yes"),"Receipt not marked as saved. ","")</f>
        <v/>
      </c>
      <c r="P345" s="15" t="str">
        <f aca="false">IF(AND(ISNUMBER(E345),E345&gt;=Settings!$B$5),"Large amount: review. ","")</f>
        <v/>
      </c>
    </row>
    <row r="346" customFormat="false" ht="15" hidden="false" customHeight="false" outlineLevel="0" collapsed="false">
      <c r="A346" s="10"/>
      <c r="B346" s="11"/>
      <c r="C346" s="11"/>
      <c r="D346" s="11"/>
      <c r="E346" s="12"/>
      <c r="F346" s="11"/>
      <c r="G346" s="11"/>
      <c r="H346" s="11"/>
      <c r="I346" s="13" t="str">
        <f aca="false">IF(NOT(COUNTA($A346:$H346)&gt;0),"",IF(K346&amp;L346&amp;M346&lt;&gt;"","ERROR",IF(N346&amp;O346&amp;P346&lt;&gt;"","CHECK","OK")))</f>
        <v/>
      </c>
      <c r="J346" s="14" t="str">
        <f aca="false">TRIM(K346&amp;L346&amp;M346&amp;N346&amp;O346&amp;P346)</f>
        <v/>
      </c>
      <c r="K346" s="15" t="str">
        <f aca="true">IF(NOT(COUNTA($A346:$H346)&gt;0),"",IF(A346="","Missing date. ",IF(NOT(ISNUMBER(A346)),"Date is not a real date. ",IF(YEAR(A346)&lt;&gt;Settings!$B$4,"Date outside tax year. ",IF(A346&gt;TODAY(),"Date is in the future. ","")))))</f>
        <v/>
      </c>
      <c r="L346" s="15" t="str">
        <f aca="false">IF(NOT(COUNTA($A346:$H346)&gt;0),"",IF(E346="","Missing amount. ",IF(NOT(ISNUMBER(E346)),"Amount is not a number. ",IF(E346&lt;=0,"Amount must be above zero. ",""))))</f>
        <v/>
      </c>
      <c r="M346" s="15" t="str">
        <f aca="false">IF(NOT(COUNTA($A346:$H346)&gt;0),"",IF(D346="","Missing category. ",IF(COUNTIF(Settings!$B$11:$B$40,D346)=0,"Category not in your list. ","")))</f>
        <v/>
      </c>
      <c r="N346" s="15" t="str">
        <f aca="false">IF(AND(ISNUMBER(A346),ISNUMBER(E346),B346&lt;&gt;""),IF(COUNTIFS($A$6:$A$505,A346,$B$6:$B$505,B346,$E$6:$E$505,E346)&gt;1,"Possible duplicate. ",""),"")</f>
        <v/>
      </c>
      <c r="O346" s="15" t="str">
        <f aca="false">IF(AND(ISNUMBER(E346),E346&gt;=Settings!$B$6,G346&lt;&gt;"Yes"),"Receipt not marked as saved. ","")</f>
        <v/>
      </c>
      <c r="P346" s="15" t="str">
        <f aca="false">IF(AND(ISNUMBER(E346),E346&gt;=Settings!$B$5),"Large amount: review. ","")</f>
        <v/>
      </c>
    </row>
    <row r="347" customFormat="false" ht="15" hidden="false" customHeight="false" outlineLevel="0" collapsed="false">
      <c r="A347" s="10"/>
      <c r="B347" s="11"/>
      <c r="C347" s="11"/>
      <c r="D347" s="11"/>
      <c r="E347" s="12"/>
      <c r="F347" s="11"/>
      <c r="G347" s="11"/>
      <c r="H347" s="11"/>
      <c r="I347" s="13" t="str">
        <f aca="false">IF(NOT(COUNTA($A347:$H347)&gt;0),"",IF(K347&amp;L347&amp;M347&lt;&gt;"","ERROR",IF(N347&amp;O347&amp;P347&lt;&gt;"","CHECK","OK")))</f>
        <v/>
      </c>
      <c r="J347" s="14" t="str">
        <f aca="false">TRIM(K347&amp;L347&amp;M347&amp;N347&amp;O347&amp;P347)</f>
        <v/>
      </c>
      <c r="K347" s="15" t="str">
        <f aca="true">IF(NOT(COUNTA($A347:$H347)&gt;0),"",IF(A347="","Missing date. ",IF(NOT(ISNUMBER(A347)),"Date is not a real date. ",IF(YEAR(A347)&lt;&gt;Settings!$B$4,"Date outside tax year. ",IF(A347&gt;TODAY(),"Date is in the future. ","")))))</f>
        <v/>
      </c>
      <c r="L347" s="15" t="str">
        <f aca="false">IF(NOT(COUNTA($A347:$H347)&gt;0),"",IF(E347="","Missing amount. ",IF(NOT(ISNUMBER(E347)),"Amount is not a number. ",IF(E347&lt;=0,"Amount must be above zero. ",""))))</f>
        <v/>
      </c>
      <c r="M347" s="15" t="str">
        <f aca="false">IF(NOT(COUNTA($A347:$H347)&gt;0),"",IF(D347="","Missing category. ",IF(COUNTIF(Settings!$B$11:$B$40,D347)=0,"Category not in your list. ","")))</f>
        <v/>
      </c>
      <c r="N347" s="15" t="str">
        <f aca="false">IF(AND(ISNUMBER(A347),ISNUMBER(E347),B347&lt;&gt;""),IF(COUNTIFS($A$6:$A$505,A347,$B$6:$B$505,B347,$E$6:$E$505,E347)&gt;1,"Possible duplicate. ",""),"")</f>
        <v/>
      </c>
      <c r="O347" s="15" t="str">
        <f aca="false">IF(AND(ISNUMBER(E347),E347&gt;=Settings!$B$6,G347&lt;&gt;"Yes"),"Receipt not marked as saved. ","")</f>
        <v/>
      </c>
      <c r="P347" s="15" t="str">
        <f aca="false">IF(AND(ISNUMBER(E347),E347&gt;=Settings!$B$5),"Large amount: review. ","")</f>
        <v/>
      </c>
    </row>
    <row r="348" customFormat="false" ht="15" hidden="false" customHeight="false" outlineLevel="0" collapsed="false">
      <c r="A348" s="10"/>
      <c r="B348" s="11"/>
      <c r="C348" s="11"/>
      <c r="D348" s="11"/>
      <c r="E348" s="12"/>
      <c r="F348" s="11"/>
      <c r="G348" s="11"/>
      <c r="H348" s="11"/>
      <c r="I348" s="13" t="str">
        <f aca="false">IF(NOT(COUNTA($A348:$H348)&gt;0),"",IF(K348&amp;L348&amp;M348&lt;&gt;"","ERROR",IF(N348&amp;O348&amp;P348&lt;&gt;"","CHECK","OK")))</f>
        <v/>
      </c>
      <c r="J348" s="14" t="str">
        <f aca="false">TRIM(K348&amp;L348&amp;M348&amp;N348&amp;O348&amp;P348)</f>
        <v/>
      </c>
      <c r="K348" s="15" t="str">
        <f aca="true">IF(NOT(COUNTA($A348:$H348)&gt;0),"",IF(A348="","Missing date. ",IF(NOT(ISNUMBER(A348)),"Date is not a real date. ",IF(YEAR(A348)&lt;&gt;Settings!$B$4,"Date outside tax year. ",IF(A348&gt;TODAY(),"Date is in the future. ","")))))</f>
        <v/>
      </c>
      <c r="L348" s="15" t="str">
        <f aca="false">IF(NOT(COUNTA($A348:$H348)&gt;0),"",IF(E348="","Missing amount. ",IF(NOT(ISNUMBER(E348)),"Amount is not a number. ",IF(E348&lt;=0,"Amount must be above zero. ",""))))</f>
        <v/>
      </c>
      <c r="M348" s="15" t="str">
        <f aca="false">IF(NOT(COUNTA($A348:$H348)&gt;0),"",IF(D348="","Missing category. ",IF(COUNTIF(Settings!$B$11:$B$40,D348)=0,"Category not in your list. ","")))</f>
        <v/>
      </c>
      <c r="N348" s="15" t="str">
        <f aca="false">IF(AND(ISNUMBER(A348),ISNUMBER(E348),B348&lt;&gt;""),IF(COUNTIFS($A$6:$A$505,A348,$B$6:$B$505,B348,$E$6:$E$505,E348)&gt;1,"Possible duplicate. ",""),"")</f>
        <v/>
      </c>
      <c r="O348" s="15" t="str">
        <f aca="false">IF(AND(ISNUMBER(E348),E348&gt;=Settings!$B$6,G348&lt;&gt;"Yes"),"Receipt not marked as saved. ","")</f>
        <v/>
      </c>
      <c r="P348" s="15" t="str">
        <f aca="false">IF(AND(ISNUMBER(E348),E348&gt;=Settings!$B$5),"Large amount: review. ","")</f>
        <v/>
      </c>
    </row>
    <row r="349" customFormat="false" ht="15" hidden="false" customHeight="false" outlineLevel="0" collapsed="false">
      <c r="A349" s="10"/>
      <c r="B349" s="11"/>
      <c r="C349" s="11"/>
      <c r="D349" s="11"/>
      <c r="E349" s="12"/>
      <c r="F349" s="11"/>
      <c r="G349" s="11"/>
      <c r="H349" s="11"/>
      <c r="I349" s="13" t="str">
        <f aca="false">IF(NOT(COUNTA($A349:$H349)&gt;0),"",IF(K349&amp;L349&amp;M349&lt;&gt;"","ERROR",IF(N349&amp;O349&amp;P349&lt;&gt;"","CHECK","OK")))</f>
        <v/>
      </c>
      <c r="J349" s="14" t="str">
        <f aca="false">TRIM(K349&amp;L349&amp;M349&amp;N349&amp;O349&amp;P349)</f>
        <v/>
      </c>
      <c r="K349" s="15" t="str">
        <f aca="true">IF(NOT(COUNTA($A349:$H349)&gt;0),"",IF(A349="","Missing date. ",IF(NOT(ISNUMBER(A349)),"Date is not a real date. ",IF(YEAR(A349)&lt;&gt;Settings!$B$4,"Date outside tax year. ",IF(A349&gt;TODAY(),"Date is in the future. ","")))))</f>
        <v/>
      </c>
      <c r="L349" s="15" t="str">
        <f aca="false">IF(NOT(COUNTA($A349:$H349)&gt;0),"",IF(E349="","Missing amount. ",IF(NOT(ISNUMBER(E349)),"Amount is not a number. ",IF(E349&lt;=0,"Amount must be above zero. ",""))))</f>
        <v/>
      </c>
      <c r="M349" s="15" t="str">
        <f aca="false">IF(NOT(COUNTA($A349:$H349)&gt;0),"",IF(D349="","Missing category. ",IF(COUNTIF(Settings!$B$11:$B$40,D349)=0,"Category not in your list. ","")))</f>
        <v/>
      </c>
      <c r="N349" s="15" t="str">
        <f aca="false">IF(AND(ISNUMBER(A349),ISNUMBER(E349),B349&lt;&gt;""),IF(COUNTIFS($A$6:$A$505,A349,$B$6:$B$505,B349,$E$6:$E$505,E349)&gt;1,"Possible duplicate. ",""),"")</f>
        <v/>
      </c>
      <c r="O349" s="15" t="str">
        <f aca="false">IF(AND(ISNUMBER(E349),E349&gt;=Settings!$B$6,G349&lt;&gt;"Yes"),"Receipt not marked as saved. ","")</f>
        <v/>
      </c>
      <c r="P349" s="15" t="str">
        <f aca="false">IF(AND(ISNUMBER(E349),E349&gt;=Settings!$B$5),"Large amount: review. ","")</f>
        <v/>
      </c>
    </row>
    <row r="350" customFormat="false" ht="15" hidden="false" customHeight="false" outlineLevel="0" collapsed="false">
      <c r="A350" s="10"/>
      <c r="B350" s="11"/>
      <c r="C350" s="11"/>
      <c r="D350" s="11"/>
      <c r="E350" s="12"/>
      <c r="F350" s="11"/>
      <c r="G350" s="11"/>
      <c r="H350" s="11"/>
      <c r="I350" s="13" t="str">
        <f aca="false">IF(NOT(COUNTA($A350:$H350)&gt;0),"",IF(K350&amp;L350&amp;M350&lt;&gt;"","ERROR",IF(N350&amp;O350&amp;P350&lt;&gt;"","CHECK","OK")))</f>
        <v/>
      </c>
      <c r="J350" s="14" t="str">
        <f aca="false">TRIM(K350&amp;L350&amp;M350&amp;N350&amp;O350&amp;P350)</f>
        <v/>
      </c>
      <c r="K350" s="15" t="str">
        <f aca="true">IF(NOT(COUNTA($A350:$H350)&gt;0),"",IF(A350="","Missing date. ",IF(NOT(ISNUMBER(A350)),"Date is not a real date. ",IF(YEAR(A350)&lt;&gt;Settings!$B$4,"Date outside tax year. ",IF(A350&gt;TODAY(),"Date is in the future. ","")))))</f>
        <v/>
      </c>
      <c r="L350" s="15" t="str">
        <f aca="false">IF(NOT(COUNTA($A350:$H350)&gt;0),"",IF(E350="","Missing amount. ",IF(NOT(ISNUMBER(E350)),"Amount is not a number. ",IF(E350&lt;=0,"Amount must be above zero. ",""))))</f>
        <v/>
      </c>
      <c r="M350" s="15" t="str">
        <f aca="false">IF(NOT(COUNTA($A350:$H350)&gt;0),"",IF(D350="","Missing category. ",IF(COUNTIF(Settings!$B$11:$B$40,D350)=0,"Category not in your list. ","")))</f>
        <v/>
      </c>
      <c r="N350" s="15" t="str">
        <f aca="false">IF(AND(ISNUMBER(A350),ISNUMBER(E350),B350&lt;&gt;""),IF(COUNTIFS($A$6:$A$505,A350,$B$6:$B$505,B350,$E$6:$E$505,E350)&gt;1,"Possible duplicate. ",""),"")</f>
        <v/>
      </c>
      <c r="O350" s="15" t="str">
        <f aca="false">IF(AND(ISNUMBER(E350),E350&gt;=Settings!$B$6,G350&lt;&gt;"Yes"),"Receipt not marked as saved. ","")</f>
        <v/>
      </c>
      <c r="P350" s="15" t="str">
        <f aca="false">IF(AND(ISNUMBER(E350),E350&gt;=Settings!$B$5),"Large amount: review. ","")</f>
        <v/>
      </c>
    </row>
    <row r="351" customFormat="false" ht="15" hidden="false" customHeight="false" outlineLevel="0" collapsed="false">
      <c r="A351" s="10"/>
      <c r="B351" s="11"/>
      <c r="C351" s="11"/>
      <c r="D351" s="11"/>
      <c r="E351" s="12"/>
      <c r="F351" s="11"/>
      <c r="G351" s="11"/>
      <c r="H351" s="11"/>
      <c r="I351" s="13" t="str">
        <f aca="false">IF(NOT(COUNTA($A351:$H351)&gt;0),"",IF(K351&amp;L351&amp;M351&lt;&gt;"","ERROR",IF(N351&amp;O351&amp;P351&lt;&gt;"","CHECK","OK")))</f>
        <v/>
      </c>
      <c r="J351" s="14" t="str">
        <f aca="false">TRIM(K351&amp;L351&amp;M351&amp;N351&amp;O351&amp;P351)</f>
        <v/>
      </c>
      <c r="K351" s="15" t="str">
        <f aca="true">IF(NOT(COUNTA($A351:$H351)&gt;0),"",IF(A351="","Missing date. ",IF(NOT(ISNUMBER(A351)),"Date is not a real date. ",IF(YEAR(A351)&lt;&gt;Settings!$B$4,"Date outside tax year. ",IF(A351&gt;TODAY(),"Date is in the future. ","")))))</f>
        <v/>
      </c>
      <c r="L351" s="15" t="str">
        <f aca="false">IF(NOT(COUNTA($A351:$H351)&gt;0),"",IF(E351="","Missing amount. ",IF(NOT(ISNUMBER(E351)),"Amount is not a number. ",IF(E351&lt;=0,"Amount must be above zero. ",""))))</f>
        <v/>
      </c>
      <c r="M351" s="15" t="str">
        <f aca="false">IF(NOT(COUNTA($A351:$H351)&gt;0),"",IF(D351="","Missing category. ",IF(COUNTIF(Settings!$B$11:$B$40,D351)=0,"Category not in your list. ","")))</f>
        <v/>
      </c>
      <c r="N351" s="15" t="str">
        <f aca="false">IF(AND(ISNUMBER(A351),ISNUMBER(E351),B351&lt;&gt;""),IF(COUNTIFS($A$6:$A$505,A351,$B$6:$B$505,B351,$E$6:$E$505,E351)&gt;1,"Possible duplicate. ",""),"")</f>
        <v/>
      </c>
      <c r="O351" s="15" t="str">
        <f aca="false">IF(AND(ISNUMBER(E351),E351&gt;=Settings!$B$6,G351&lt;&gt;"Yes"),"Receipt not marked as saved. ","")</f>
        <v/>
      </c>
      <c r="P351" s="15" t="str">
        <f aca="false">IF(AND(ISNUMBER(E351),E351&gt;=Settings!$B$5),"Large amount: review. ","")</f>
        <v/>
      </c>
    </row>
    <row r="352" customFormat="false" ht="15" hidden="false" customHeight="false" outlineLevel="0" collapsed="false">
      <c r="A352" s="10"/>
      <c r="B352" s="11"/>
      <c r="C352" s="11"/>
      <c r="D352" s="11"/>
      <c r="E352" s="12"/>
      <c r="F352" s="11"/>
      <c r="G352" s="11"/>
      <c r="H352" s="11"/>
      <c r="I352" s="13" t="str">
        <f aca="false">IF(NOT(COUNTA($A352:$H352)&gt;0),"",IF(K352&amp;L352&amp;M352&lt;&gt;"","ERROR",IF(N352&amp;O352&amp;P352&lt;&gt;"","CHECK","OK")))</f>
        <v/>
      </c>
      <c r="J352" s="14" t="str">
        <f aca="false">TRIM(K352&amp;L352&amp;M352&amp;N352&amp;O352&amp;P352)</f>
        <v/>
      </c>
      <c r="K352" s="15" t="str">
        <f aca="true">IF(NOT(COUNTA($A352:$H352)&gt;0),"",IF(A352="","Missing date. ",IF(NOT(ISNUMBER(A352)),"Date is not a real date. ",IF(YEAR(A352)&lt;&gt;Settings!$B$4,"Date outside tax year. ",IF(A352&gt;TODAY(),"Date is in the future. ","")))))</f>
        <v/>
      </c>
      <c r="L352" s="15" t="str">
        <f aca="false">IF(NOT(COUNTA($A352:$H352)&gt;0),"",IF(E352="","Missing amount. ",IF(NOT(ISNUMBER(E352)),"Amount is not a number. ",IF(E352&lt;=0,"Amount must be above zero. ",""))))</f>
        <v/>
      </c>
      <c r="M352" s="15" t="str">
        <f aca="false">IF(NOT(COUNTA($A352:$H352)&gt;0),"",IF(D352="","Missing category. ",IF(COUNTIF(Settings!$B$11:$B$40,D352)=0,"Category not in your list. ","")))</f>
        <v/>
      </c>
      <c r="N352" s="15" t="str">
        <f aca="false">IF(AND(ISNUMBER(A352),ISNUMBER(E352),B352&lt;&gt;""),IF(COUNTIFS($A$6:$A$505,A352,$B$6:$B$505,B352,$E$6:$E$505,E352)&gt;1,"Possible duplicate. ",""),"")</f>
        <v/>
      </c>
      <c r="O352" s="15" t="str">
        <f aca="false">IF(AND(ISNUMBER(E352),E352&gt;=Settings!$B$6,G352&lt;&gt;"Yes"),"Receipt not marked as saved. ","")</f>
        <v/>
      </c>
      <c r="P352" s="15" t="str">
        <f aca="false">IF(AND(ISNUMBER(E352),E352&gt;=Settings!$B$5),"Large amount: review. ","")</f>
        <v/>
      </c>
    </row>
    <row r="353" customFormat="false" ht="15" hidden="false" customHeight="false" outlineLevel="0" collapsed="false">
      <c r="A353" s="10"/>
      <c r="B353" s="11"/>
      <c r="C353" s="11"/>
      <c r="D353" s="11"/>
      <c r="E353" s="12"/>
      <c r="F353" s="11"/>
      <c r="G353" s="11"/>
      <c r="H353" s="11"/>
      <c r="I353" s="13" t="str">
        <f aca="false">IF(NOT(COUNTA($A353:$H353)&gt;0),"",IF(K353&amp;L353&amp;M353&lt;&gt;"","ERROR",IF(N353&amp;O353&amp;P353&lt;&gt;"","CHECK","OK")))</f>
        <v/>
      </c>
      <c r="J353" s="14" t="str">
        <f aca="false">TRIM(K353&amp;L353&amp;M353&amp;N353&amp;O353&amp;P353)</f>
        <v/>
      </c>
      <c r="K353" s="15" t="str">
        <f aca="true">IF(NOT(COUNTA($A353:$H353)&gt;0),"",IF(A353="","Missing date. ",IF(NOT(ISNUMBER(A353)),"Date is not a real date. ",IF(YEAR(A353)&lt;&gt;Settings!$B$4,"Date outside tax year. ",IF(A353&gt;TODAY(),"Date is in the future. ","")))))</f>
        <v/>
      </c>
      <c r="L353" s="15" t="str">
        <f aca="false">IF(NOT(COUNTA($A353:$H353)&gt;0),"",IF(E353="","Missing amount. ",IF(NOT(ISNUMBER(E353)),"Amount is not a number. ",IF(E353&lt;=0,"Amount must be above zero. ",""))))</f>
        <v/>
      </c>
      <c r="M353" s="15" t="str">
        <f aca="false">IF(NOT(COUNTA($A353:$H353)&gt;0),"",IF(D353="","Missing category. ",IF(COUNTIF(Settings!$B$11:$B$40,D353)=0,"Category not in your list. ","")))</f>
        <v/>
      </c>
      <c r="N353" s="15" t="str">
        <f aca="false">IF(AND(ISNUMBER(A353),ISNUMBER(E353),B353&lt;&gt;""),IF(COUNTIFS($A$6:$A$505,A353,$B$6:$B$505,B353,$E$6:$E$505,E353)&gt;1,"Possible duplicate. ",""),"")</f>
        <v/>
      </c>
      <c r="O353" s="15" t="str">
        <f aca="false">IF(AND(ISNUMBER(E353),E353&gt;=Settings!$B$6,G353&lt;&gt;"Yes"),"Receipt not marked as saved. ","")</f>
        <v/>
      </c>
      <c r="P353" s="15" t="str">
        <f aca="false">IF(AND(ISNUMBER(E353),E353&gt;=Settings!$B$5),"Large amount: review. ","")</f>
        <v/>
      </c>
    </row>
    <row r="354" customFormat="false" ht="15" hidden="false" customHeight="false" outlineLevel="0" collapsed="false">
      <c r="A354" s="10"/>
      <c r="B354" s="11"/>
      <c r="C354" s="11"/>
      <c r="D354" s="11"/>
      <c r="E354" s="12"/>
      <c r="F354" s="11"/>
      <c r="G354" s="11"/>
      <c r="H354" s="11"/>
      <c r="I354" s="13" t="str">
        <f aca="false">IF(NOT(COUNTA($A354:$H354)&gt;0),"",IF(K354&amp;L354&amp;M354&lt;&gt;"","ERROR",IF(N354&amp;O354&amp;P354&lt;&gt;"","CHECK","OK")))</f>
        <v/>
      </c>
      <c r="J354" s="14" t="str">
        <f aca="false">TRIM(K354&amp;L354&amp;M354&amp;N354&amp;O354&amp;P354)</f>
        <v/>
      </c>
      <c r="K354" s="15" t="str">
        <f aca="true">IF(NOT(COUNTA($A354:$H354)&gt;0),"",IF(A354="","Missing date. ",IF(NOT(ISNUMBER(A354)),"Date is not a real date. ",IF(YEAR(A354)&lt;&gt;Settings!$B$4,"Date outside tax year. ",IF(A354&gt;TODAY(),"Date is in the future. ","")))))</f>
        <v/>
      </c>
      <c r="L354" s="15" t="str">
        <f aca="false">IF(NOT(COUNTA($A354:$H354)&gt;0),"",IF(E354="","Missing amount. ",IF(NOT(ISNUMBER(E354)),"Amount is not a number. ",IF(E354&lt;=0,"Amount must be above zero. ",""))))</f>
        <v/>
      </c>
      <c r="M354" s="15" t="str">
        <f aca="false">IF(NOT(COUNTA($A354:$H354)&gt;0),"",IF(D354="","Missing category. ",IF(COUNTIF(Settings!$B$11:$B$40,D354)=0,"Category not in your list. ","")))</f>
        <v/>
      </c>
      <c r="N354" s="15" t="str">
        <f aca="false">IF(AND(ISNUMBER(A354),ISNUMBER(E354),B354&lt;&gt;""),IF(COUNTIFS($A$6:$A$505,A354,$B$6:$B$505,B354,$E$6:$E$505,E354)&gt;1,"Possible duplicate. ",""),"")</f>
        <v/>
      </c>
      <c r="O354" s="15" t="str">
        <f aca="false">IF(AND(ISNUMBER(E354),E354&gt;=Settings!$B$6,G354&lt;&gt;"Yes"),"Receipt not marked as saved. ","")</f>
        <v/>
      </c>
      <c r="P354" s="15" t="str">
        <f aca="false">IF(AND(ISNUMBER(E354),E354&gt;=Settings!$B$5),"Large amount: review. ","")</f>
        <v/>
      </c>
    </row>
    <row r="355" customFormat="false" ht="15" hidden="false" customHeight="false" outlineLevel="0" collapsed="false">
      <c r="A355" s="10"/>
      <c r="B355" s="11"/>
      <c r="C355" s="11"/>
      <c r="D355" s="11"/>
      <c r="E355" s="12"/>
      <c r="F355" s="11"/>
      <c r="G355" s="11"/>
      <c r="H355" s="11"/>
      <c r="I355" s="13" t="str">
        <f aca="false">IF(NOT(COUNTA($A355:$H355)&gt;0),"",IF(K355&amp;L355&amp;M355&lt;&gt;"","ERROR",IF(N355&amp;O355&amp;P355&lt;&gt;"","CHECK","OK")))</f>
        <v/>
      </c>
      <c r="J355" s="14" t="str">
        <f aca="false">TRIM(K355&amp;L355&amp;M355&amp;N355&amp;O355&amp;P355)</f>
        <v/>
      </c>
      <c r="K355" s="15" t="str">
        <f aca="true">IF(NOT(COUNTA($A355:$H355)&gt;0),"",IF(A355="","Missing date. ",IF(NOT(ISNUMBER(A355)),"Date is not a real date. ",IF(YEAR(A355)&lt;&gt;Settings!$B$4,"Date outside tax year. ",IF(A355&gt;TODAY(),"Date is in the future. ","")))))</f>
        <v/>
      </c>
      <c r="L355" s="15" t="str">
        <f aca="false">IF(NOT(COUNTA($A355:$H355)&gt;0),"",IF(E355="","Missing amount. ",IF(NOT(ISNUMBER(E355)),"Amount is not a number. ",IF(E355&lt;=0,"Amount must be above zero. ",""))))</f>
        <v/>
      </c>
      <c r="M355" s="15" t="str">
        <f aca="false">IF(NOT(COUNTA($A355:$H355)&gt;0),"",IF(D355="","Missing category. ",IF(COUNTIF(Settings!$B$11:$B$40,D355)=0,"Category not in your list. ","")))</f>
        <v/>
      </c>
      <c r="N355" s="15" t="str">
        <f aca="false">IF(AND(ISNUMBER(A355),ISNUMBER(E355),B355&lt;&gt;""),IF(COUNTIFS($A$6:$A$505,A355,$B$6:$B$505,B355,$E$6:$E$505,E355)&gt;1,"Possible duplicate. ",""),"")</f>
        <v/>
      </c>
      <c r="O355" s="15" t="str">
        <f aca="false">IF(AND(ISNUMBER(E355),E355&gt;=Settings!$B$6,G355&lt;&gt;"Yes"),"Receipt not marked as saved. ","")</f>
        <v/>
      </c>
      <c r="P355" s="15" t="str">
        <f aca="false">IF(AND(ISNUMBER(E355),E355&gt;=Settings!$B$5),"Large amount: review. ","")</f>
        <v/>
      </c>
    </row>
    <row r="356" customFormat="false" ht="15" hidden="false" customHeight="false" outlineLevel="0" collapsed="false">
      <c r="A356" s="10"/>
      <c r="B356" s="11"/>
      <c r="C356" s="11"/>
      <c r="D356" s="11"/>
      <c r="E356" s="12"/>
      <c r="F356" s="11"/>
      <c r="G356" s="11"/>
      <c r="H356" s="11"/>
      <c r="I356" s="13" t="str">
        <f aca="false">IF(NOT(COUNTA($A356:$H356)&gt;0),"",IF(K356&amp;L356&amp;M356&lt;&gt;"","ERROR",IF(N356&amp;O356&amp;P356&lt;&gt;"","CHECK","OK")))</f>
        <v/>
      </c>
      <c r="J356" s="14" t="str">
        <f aca="false">TRIM(K356&amp;L356&amp;M356&amp;N356&amp;O356&amp;P356)</f>
        <v/>
      </c>
      <c r="K356" s="15" t="str">
        <f aca="true">IF(NOT(COUNTA($A356:$H356)&gt;0),"",IF(A356="","Missing date. ",IF(NOT(ISNUMBER(A356)),"Date is not a real date. ",IF(YEAR(A356)&lt;&gt;Settings!$B$4,"Date outside tax year. ",IF(A356&gt;TODAY(),"Date is in the future. ","")))))</f>
        <v/>
      </c>
      <c r="L356" s="15" t="str">
        <f aca="false">IF(NOT(COUNTA($A356:$H356)&gt;0),"",IF(E356="","Missing amount. ",IF(NOT(ISNUMBER(E356)),"Amount is not a number. ",IF(E356&lt;=0,"Amount must be above zero. ",""))))</f>
        <v/>
      </c>
      <c r="M356" s="15" t="str">
        <f aca="false">IF(NOT(COUNTA($A356:$H356)&gt;0),"",IF(D356="","Missing category. ",IF(COUNTIF(Settings!$B$11:$B$40,D356)=0,"Category not in your list. ","")))</f>
        <v/>
      </c>
      <c r="N356" s="15" t="str">
        <f aca="false">IF(AND(ISNUMBER(A356),ISNUMBER(E356),B356&lt;&gt;""),IF(COUNTIFS($A$6:$A$505,A356,$B$6:$B$505,B356,$E$6:$E$505,E356)&gt;1,"Possible duplicate. ",""),"")</f>
        <v/>
      </c>
      <c r="O356" s="15" t="str">
        <f aca="false">IF(AND(ISNUMBER(E356),E356&gt;=Settings!$B$6,G356&lt;&gt;"Yes"),"Receipt not marked as saved. ","")</f>
        <v/>
      </c>
      <c r="P356" s="15" t="str">
        <f aca="false">IF(AND(ISNUMBER(E356),E356&gt;=Settings!$B$5),"Large amount: review. ","")</f>
        <v/>
      </c>
    </row>
    <row r="357" customFormat="false" ht="15" hidden="false" customHeight="false" outlineLevel="0" collapsed="false">
      <c r="A357" s="10"/>
      <c r="B357" s="11"/>
      <c r="C357" s="11"/>
      <c r="D357" s="11"/>
      <c r="E357" s="12"/>
      <c r="F357" s="11"/>
      <c r="G357" s="11"/>
      <c r="H357" s="11"/>
      <c r="I357" s="13" t="str">
        <f aca="false">IF(NOT(COUNTA($A357:$H357)&gt;0),"",IF(K357&amp;L357&amp;M357&lt;&gt;"","ERROR",IF(N357&amp;O357&amp;P357&lt;&gt;"","CHECK","OK")))</f>
        <v/>
      </c>
      <c r="J357" s="14" t="str">
        <f aca="false">TRIM(K357&amp;L357&amp;M357&amp;N357&amp;O357&amp;P357)</f>
        <v/>
      </c>
      <c r="K357" s="15" t="str">
        <f aca="true">IF(NOT(COUNTA($A357:$H357)&gt;0),"",IF(A357="","Missing date. ",IF(NOT(ISNUMBER(A357)),"Date is not a real date. ",IF(YEAR(A357)&lt;&gt;Settings!$B$4,"Date outside tax year. ",IF(A357&gt;TODAY(),"Date is in the future. ","")))))</f>
        <v/>
      </c>
      <c r="L357" s="15" t="str">
        <f aca="false">IF(NOT(COUNTA($A357:$H357)&gt;0),"",IF(E357="","Missing amount. ",IF(NOT(ISNUMBER(E357)),"Amount is not a number. ",IF(E357&lt;=0,"Amount must be above zero. ",""))))</f>
        <v/>
      </c>
      <c r="M357" s="15" t="str">
        <f aca="false">IF(NOT(COUNTA($A357:$H357)&gt;0),"",IF(D357="","Missing category. ",IF(COUNTIF(Settings!$B$11:$B$40,D357)=0,"Category not in your list. ","")))</f>
        <v/>
      </c>
      <c r="N357" s="15" t="str">
        <f aca="false">IF(AND(ISNUMBER(A357),ISNUMBER(E357),B357&lt;&gt;""),IF(COUNTIFS($A$6:$A$505,A357,$B$6:$B$505,B357,$E$6:$E$505,E357)&gt;1,"Possible duplicate. ",""),"")</f>
        <v/>
      </c>
      <c r="O357" s="15" t="str">
        <f aca="false">IF(AND(ISNUMBER(E357),E357&gt;=Settings!$B$6,G357&lt;&gt;"Yes"),"Receipt not marked as saved. ","")</f>
        <v/>
      </c>
      <c r="P357" s="15" t="str">
        <f aca="false">IF(AND(ISNUMBER(E357),E357&gt;=Settings!$B$5),"Large amount: review. ","")</f>
        <v/>
      </c>
    </row>
    <row r="358" customFormat="false" ht="15" hidden="false" customHeight="false" outlineLevel="0" collapsed="false">
      <c r="A358" s="10"/>
      <c r="B358" s="11"/>
      <c r="C358" s="11"/>
      <c r="D358" s="11"/>
      <c r="E358" s="12"/>
      <c r="F358" s="11"/>
      <c r="G358" s="11"/>
      <c r="H358" s="11"/>
      <c r="I358" s="13" t="str">
        <f aca="false">IF(NOT(COUNTA($A358:$H358)&gt;0),"",IF(K358&amp;L358&amp;M358&lt;&gt;"","ERROR",IF(N358&amp;O358&amp;P358&lt;&gt;"","CHECK","OK")))</f>
        <v/>
      </c>
      <c r="J358" s="14" t="str">
        <f aca="false">TRIM(K358&amp;L358&amp;M358&amp;N358&amp;O358&amp;P358)</f>
        <v/>
      </c>
      <c r="K358" s="15" t="str">
        <f aca="true">IF(NOT(COUNTA($A358:$H358)&gt;0),"",IF(A358="","Missing date. ",IF(NOT(ISNUMBER(A358)),"Date is not a real date. ",IF(YEAR(A358)&lt;&gt;Settings!$B$4,"Date outside tax year. ",IF(A358&gt;TODAY(),"Date is in the future. ","")))))</f>
        <v/>
      </c>
      <c r="L358" s="15" t="str">
        <f aca="false">IF(NOT(COUNTA($A358:$H358)&gt;0),"",IF(E358="","Missing amount. ",IF(NOT(ISNUMBER(E358)),"Amount is not a number. ",IF(E358&lt;=0,"Amount must be above zero. ",""))))</f>
        <v/>
      </c>
      <c r="M358" s="15" t="str">
        <f aca="false">IF(NOT(COUNTA($A358:$H358)&gt;0),"",IF(D358="","Missing category. ",IF(COUNTIF(Settings!$B$11:$B$40,D358)=0,"Category not in your list. ","")))</f>
        <v/>
      </c>
      <c r="N358" s="15" t="str">
        <f aca="false">IF(AND(ISNUMBER(A358),ISNUMBER(E358),B358&lt;&gt;""),IF(COUNTIFS($A$6:$A$505,A358,$B$6:$B$505,B358,$E$6:$E$505,E358)&gt;1,"Possible duplicate. ",""),"")</f>
        <v/>
      </c>
      <c r="O358" s="15" t="str">
        <f aca="false">IF(AND(ISNUMBER(E358),E358&gt;=Settings!$B$6,G358&lt;&gt;"Yes"),"Receipt not marked as saved. ","")</f>
        <v/>
      </c>
      <c r="P358" s="15" t="str">
        <f aca="false">IF(AND(ISNUMBER(E358),E358&gt;=Settings!$B$5),"Large amount: review. ","")</f>
        <v/>
      </c>
    </row>
    <row r="359" customFormat="false" ht="15" hidden="false" customHeight="false" outlineLevel="0" collapsed="false">
      <c r="A359" s="10"/>
      <c r="B359" s="11"/>
      <c r="C359" s="11"/>
      <c r="D359" s="11"/>
      <c r="E359" s="12"/>
      <c r="F359" s="11"/>
      <c r="G359" s="11"/>
      <c r="H359" s="11"/>
      <c r="I359" s="13" t="str">
        <f aca="false">IF(NOT(COUNTA($A359:$H359)&gt;0),"",IF(K359&amp;L359&amp;M359&lt;&gt;"","ERROR",IF(N359&amp;O359&amp;P359&lt;&gt;"","CHECK","OK")))</f>
        <v/>
      </c>
      <c r="J359" s="14" t="str">
        <f aca="false">TRIM(K359&amp;L359&amp;M359&amp;N359&amp;O359&amp;P359)</f>
        <v/>
      </c>
      <c r="K359" s="15" t="str">
        <f aca="true">IF(NOT(COUNTA($A359:$H359)&gt;0),"",IF(A359="","Missing date. ",IF(NOT(ISNUMBER(A359)),"Date is not a real date. ",IF(YEAR(A359)&lt;&gt;Settings!$B$4,"Date outside tax year. ",IF(A359&gt;TODAY(),"Date is in the future. ","")))))</f>
        <v/>
      </c>
      <c r="L359" s="15" t="str">
        <f aca="false">IF(NOT(COUNTA($A359:$H359)&gt;0),"",IF(E359="","Missing amount. ",IF(NOT(ISNUMBER(E359)),"Amount is not a number. ",IF(E359&lt;=0,"Amount must be above zero. ",""))))</f>
        <v/>
      </c>
      <c r="M359" s="15" t="str">
        <f aca="false">IF(NOT(COUNTA($A359:$H359)&gt;0),"",IF(D359="","Missing category. ",IF(COUNTIF(Settings!$B$11:$B$40,D359)=0,"Category not in your list. ","")))</f>
        <v/>
      </c>
      <c r="N359" s="15" t="str">
        <f aca="false">IF(AND(ISNUMBER(A359),ISNUMBER(E359),B359&lt;&gt;""),IF(COUNTIFS($A$6:$A$505,A359,$B$6:$B$505,B359,$E$6:$E$505,E359)&gt;1,"Possible duplicate. ",""),"")</f>
        <v/>
      </c>
      <c r="O359" s="15" t="str">
        <f aca="false">IF(AND(ISNUMBER(E359),E359&gt;=Settings!$B$6,G359&lt;&gt;"Yes"),"Receipt not marked as saved. ","")</f>
        <v/>
      </c>
      <c r="P359" s="15" t="str">
        <f aca="false">IF(AND(ISNUMBER(E359),E359&gt;=Settings!$B$5),"Large amount: review. ","")</f>
        <v/>
      </c>
    </row>
    <row r="360" customFormat="false" ht="15" hidden="false" customHeight="false" outlineLevel="0" collapsed="false">
      <c r="A360" s="10"/>
      <c r="B360" s="11"/>
      <c r="C360" s="11"/>
      <c r="D360" s="11"/>
      <c r="E360" s="12"/>
      <c r="F360" s="11"/>
      <c r="G360" s="11"/>
      <c r="H360" s="11"/>
      <c r="I360" s="13" t="str">
        <f aca="false">IF(NOT(COUNTA($A360:$H360)&gt;0),"",IF(K360&amp;L360&amp;M360&lt;&gt;"","ERROR",IF(N360&amp;O360&amp;P360&lt;&gt;"","CHECK","OK")))</f>
        <v/>
      </c>
      <c r="J360" s="14" t="str">
        <f aca="false">TRIM(K360&amp;L360&amp;M360&amp;N360&amp;O360&amp;P360)</f>
        <v/>
      </c>
      <c r="K360" s="15" t="str">
        <f aca="true">IF(NOT(COUNTA($A360:$H360)&gt;0),"",IF(A360="","Missing date. ",IF(NOT(ISNUMBER(A360)),"Date is not a real date. ",IF(YEAR(A360)&lt;&gt;Settings!$B$4,"Date outside tax year. ",IF(A360&gt;TODAY(),"Date is in the future. ","")))))</f>
        <v/>
      </c>
      <c r="L360" s="15" t="str">
        <f aca="false">IF(NOT(COUNTA($A360:$H360)&gt;0),"",IF(E360="","Missing amount. ",IF(NOT(ISNUMBER(E360)),"Amount is not a number. ",IF(E360&lt;=0,"Amount must be above zero. ",""))))</f>
        <v/>
      </c>
      <c r="M360" s="15" t="str">
        <f aca="false">IF(NOT(COUNTA($A360:$H360)&gt;0),"",IF(D360="","Missing category. ",IF(COUNTIF(Settings!$B$11:$B$40,D360)=0,"Category not in your list. ","")))</f>
        <v/>
      </c>
      <c r="N360" s="15" t="str">
        <f aca="false">IF(AND(ISNUMBER(A360),ISNUMBER(E360),B360&lt;&gt;""),IF(COUNTIFS($A$6:$A$505,A360,$B$6:$B$505,B360,$E$6:$E$505,E360)&gt;1,"Possible duplicate. ",""),"")</f>
        <v/>
      </c>
      <c r="O360" s="15" t="str">
        <f aca="false">IF(AND(ISNUMBER(E360),E360&gt;=Settings!$B$6,G360&lt;&gt;"Yes"),"Receipt not marked as saved. ","")</f>
        <v/>
      </c>
      <c r="P360" s="15" t="str">
        <f aca="false">IF(AND(ISNUMBER(E360),E360&gt;=Settings!$B$5),"Large amount: review. ","")</f>
        <v/>
      </c>
    </row>
    <row r="361" customFormat="false" ht="15" hidden="false" customHeight="false" outlineLevel="0" collapsed="false">
      <c r="A361" s="10"/>
      <c r="B361" s="11"/>
      <c r="C361" s="11"/>
      <c r="D361" s="11"/>
      <c r="E361" s="12"/>
      <c r="F361" s="11"/>
      <c r="G361" s="11"/>
      <c r="H361" s="11"/>
      <c r="I361" s="13" t="str">
        <f aca="false">IF(NOT(COUNTA($A361:$H361)&gt;0),"",IF(K361&amp;L361&amp;M361&lt;&gt;"","ERROR",IF(N361&amp;O361&amp;P361&lt;&gt;"","CHECK","OK")))</f>
        <v/>
      </c>
      <c r="J361" s="14" t="str">
        <f aca="false">TRIM(K361&amp;L361&amp;M361&amp;N361&amp;O361&amp;P361)</f>
        <v/>
      </c>
      <c r="K361" s="15" t="str">
        <f aca="true">IF(NOT(COUNTA($A361:$H361)&gt;0),"",IF(A361="","Missing date. ",IF(NOT(ISNUMBER(A361)),"Date is not a real date. ",IF(YEAR(A361)&lt;&gt;Settings!$B$4,"Date outside tax year. ",IF(A361&gt;TODAY(),"Date is in the future. ","")))))</f>
        <v/>
      </c>
      <c r="L361" s="15" t="str">
        <f aca="false">IF(NOT(COUNTA($A361:$H361)&gt;0),"",IF(E361="","Missing amount. ",IF(NOT(ISNUMBER(E361)),"Amount is not a number. ",IF(E361&lt;=0,"Amount must be above zero. ",""))))</f>
        <v/>
      </c>
      <c r="M361" s="15" t="str">
        <f aca="false">IF(NOT(COUNTA($A361:$H361)&gt;0),"",IF(D361="","Missing category. ",IF(COUNTIF(Settings!$B$11:$B$40,D361)=0,"Category not in your list. ","")))</f>
        <v/>
      </c>
      <c r="N361" s="15" t="str">
        <f aca="false">IF(AND(ISNUMBER(A361),ISNUMBER(E361),B361&lt;&gt;""),IF(COUNTIFS($A$6:$A$505,A361,$B$6:$B$505,B361,$E$6:$E$505,E361)&gt;1,"Possible duplicate. ",""),"")</f>
        <v/>
      </c>
      <c r="O361" s="15" t="str">
        <f aca="false">IF(AND(ISNUMBER(E361),E361&gt;=Settings!$B$6,G361&lt;&gt;"Yes"),"Receipt not marked as saved. ","")</f>
        <v/>
      </c>
      <c r="P361" s="15" t="str">
        <f aca="false">IF(AND(ISNUMBER(E361),E361&gt;=Settings!$B$5),"Large amount: review. ","")</f>
        <v/>
      </c>
    </row>
    <row r="362" customFormat="false" ht="15" hidden="false" customHeight="false" outlineLevel="0" collapsed="false">
      <c r="A362" s="10"/>
      <c r="B362" s="11"/>
      <c r="C362" s="11"/>
      <c r="D362" s="11"/>
      <c r="E362" s="12"/>
      <c r="F362" s="11"/>
      <c r="G362" s="11"/>
      <c r="H362" s="11"/>
      <c r="I362" s="13" t="str">
        <f aca="false">IF(NOT(COUNTA($A362:$H362)&gt;0),"",IF(K362&amp;L362&amp;M362&lt;&gt;"","ERROR",IF(N362&amp;O362&amp;P362&lt;&gt;"","CHECK","OK")))</f>
        <v/>
      </c>
      <c r="J362" s="14" t="str">
        <f aca="false">TRIM(K362&amp;L362&amp;M362&amp;N362&amp;O362&amp;P362)</f>
        <v/>
      </c>
      <c r="K362" s="15" t="str">
        <f aca="true">IF(NOT(COUNTA($A362:$H362)&gt;0),"",IF(A362="","Missing date. ",IF(NOT(ISNUMBER(A362)),"Date is not a real date. ",IF(YEAR(A362)&lt;&gt;Settings!$B$4,"Date outside tax year. ",IF(A362&gt;TODAY(),"Date is in the future. ","")))))</f>
        <v/>
      </c>
      <c r="L362" s="15" t="str">
        <f aca="false">IF(NOT(COUNTA($A362:$H362)&gt;0),"",IF(E362="","Missing amount. ",IF(NOT(ISNUMBER(E362)),"Amount is not a number. ",IF(E362&lt;=0,"Amount must be above zero. ",""))))</f>
        <v/>
      </c>
      <c r="M362" s="15" t="str">
        <f aca="false">IF(NOT(COUNTA($A362:$H362)&gt;0),"",IF(D362="","Missing category. ",IF(COUNTIF(Settings!$B$11:$B$40,D362)=0,"Category not in your list. ","")))</f>
        <v/>
      </c>
      <c r="N362" s="15" t="str">
        <f aca="false">IF(AND(ISNUMBER(A362),ISNUMBER(E362),B362&lt;&gt;""),IF(COUNTIFS($A$6:$A$505,A362,$B$6:$B$505,B362,$E$6:$E$505,E362)&gt;1,"Possible duplicate. ",""),"")</f>
        <v/>
      </c>
      <c r="O362" s="15" t="str">
        <f aca="false">IF(AND(ISNUMBER(E362),E362&gt;=Settings!$B$6,G362&lt;&gt;"Yes"),"Receipt not marked as saved. ","")</f>
        <v/>
      </c>
      <c r="P362" s="15" t="str">
        <f aca="false">IF(AND(ISNUMBER(E362),E362&gt;=Settings!$B$5),"Large amount: review. ","")</f>
        <v/>
      </c>
    </row>
    <row r="363" customFormat="false" ht="15" hidden="false" customHeight="false" outlineLevel="0" collapsed="false">
      <c r="A363" s="10"/>
      <c r="B363" s="11"/>
      <c r="C363" s="11"/>
      <c r="D363" s="11"/>
      <c r="E363" s="12"/>
      <c r="F363" s="11"/>
      <c r="G363" s="11"/>
      <c r="H363" s="11"/>
      <c r="I363" s="13" t="str">
        <f aca="false">IF(NOT(COUNTA($A363:$H363)&gt;0),"",IF(K363&amp;L363&amp;M363&lt;&gt;"","ERROR",IF(N363&amp;O363&amp;P363&lt;&gt;"","CHECK","OK")))</f>
        <v/>
      </c>
      <c r="J363" s="14" t="str">
        <f aca="false">TRIM(K363&amp;L363&amp;M363&amp;N363&amp;O363&amp;P363)</f>
        <v/>
      </c>
      <c r="K363" s="15" t="str">
        <f aca="true">IF(NOT(COUNTA($A363:$H363)&gt;0),"",IF(A363="","Missing date. ",IF(NOT(ISNUMBER(A363)),"Date is not a real date. ",IF(YEAR(A363)&lt;&gt;Settings!$B$4,"Date outside tax year. ",IF(A363&gt;TODAY(),"Date is in the future. ","")))))</f>
        <v/>
      </c>
      <c r="L363" s="15" t="str">
        <f aca="false">IF(NOT(COUNTA($A363:$H363)&gt;0),"",IF(E363="","Missing amount. ",IF(NOT(ISNUMBER(E363)),"Amount is not a number. ",IF(E363&lt;=0,"Amount must be above zero. ",""))))</f>
        <v/>
      </c>
      <c r="M363" s="15" t="str">
        <f aca="false">IF(NOT(COUNTA($A363:$H363)&gt;0),"",IF(D363="","Missing category. ",IF(COUNTIF(Settings!$B$11:$B$40,D363)=0,"Category not in your list. ","")))</f>
        <v/>
      </c>
      <c r="N363" s="15" t="str">
        <f aca="false">IF(AND(ISNUMBER(A363),ISNUMBER(E363),B363&lt;&gt;""),IF(COUNTIFS($A$6:$A$505,A363,$B$6:$B$505,B363,$E$6:$E$505,E363)&gt;1,"Possible duplicate. ",""),"")</f>
        <v/>
      </c>
      <c r="O363" s="15" t="str">
        <f aca="false">IF(AND(ISNUMBER(E363),E363&gt;=Settings!$B$6,G363&lt;&gt;"Yes"),"Receipt not marked as saved. ","")</f>
        <v/>
      </c>
      <c r="P363" s="15" t="str">
        <f aca="false">IF(AND(ISNUMBER(E363),E363&gt;=Settings!$B$5),"Large amount: review. ","")</f>
        <v/>
      </c>
    </row>
    <row r="364" customFormat="false" ht="15" hidden="false" customHeight="false" outlineLevel="0" collapsed="false">
      <c r="A364" s="10"/>
      <c r="B364" s="11"/>
      <c r="C364" s="11"/>
      <c r="D364" s="11"/>
      <c r="E364" s="12"/>
      <c r="F364" s="11"/>
      <c r="G364" s="11"/>
      <c r="H364" s="11"/>
      <c r="I364" s="13" t="str">
        <f aca="false">IF(NOT(COUNTA($A364:$H364)&gt;0),"",IF(K364&amp;L364&amp;M364&lt;&gt;"","ERROR",IF(N364&amp;O364&amp;P364&lt;&gt;"","CHECK","OK")))</f>
        <v/>
      </c>
      <c r="J364" s="14" t="str">
        <f aca="false">TRIM(K364&amp;L364&amp;M364&amp;N364&amp;O364&amp;P364)</f>
        <v/>
      </c>
      <c r="K364" s="15" t="str">
        <f aca="true">IF(NOT(COUNTA($A364:$H364)&gt;0),"",IF(A364="","Missing date. ",IF(NOT(ISNUMBER(A364)),"Date is not a real date. ",IF(YEAR(A364)&lt;&gt;Settings!$B$4,"Date outside tax year. ",IF(A364&gt;TODAY(),"Date is in the future. ","")))))</f>
        <v/>
      </c>
      <c r="L364" s="15" t="str">
        <f aca="false">IF(NOT(COUNTA($A364:$H364)&gt;0),"",IF(E364="","Missing amount. ",IF(NOT(ISNUMBER(E364)),"Amount is not a number. ",IF(E364&lt;=0,"Amount must be above zero. ",""))))</f>
        <v/>
      </c>
      <c r="M364" s="15" t="str">
        <f aca="false">IF(NOT(COUNTA($A364:$H364)&gt;0),"",IF(D364="","Missing category. ",IF(COUNTIF(Settings!$B$11:$B$40,D364)=0,"Category not in your list. ","")))</f>
        <v/>
      </c>
      <c r="N364" s="15" t="str">
        <f aca="false">IF(AND(ISNUMBER(A364),ISNUMBER(E364),B364&lt;&gt;""),IF(COUNTIFS($A$6:$A$505,A364,$B$6:$B$505,B364,$E$6:$E$505,E364)&gt;1,"Possible duplicate. ",""),"")</f>
        <v/>
      </c>
      <c r="O364" s="15" t="str">
        <f aca="false">IF(AND(ISNUMBER(E364),E364&gt;=Settings!$B$6,G364&lt;&gt;"Yes"),"Receipt not marked as saved. ","")</f>
        <v/>
      </c>
      <c r="P364" s="15" t="str">
        <f aca="false">IF(AND(ISNUMBER(E364),E364&gt;=Settings!$B$5),"Large amount: review. ","")</f>
        <v/>
      </c>
    </row>
    <row r="365" customFormat="false" ht="15" hidden="false" customHeight="false" outlineLevel="0" collapsed="false">
      <c r="A365" s="10"/>
      <c r="B365" s="11"/>
      <c r="C365" s="11"/>
      <c r="D365" s="11"/>
      <c r="E365" s="12"/>
      <c r="F365" s="11"/>
      <c r="G365" s="11"/>
      <c r="H365" s="11"/>
      <c r="I365" s="13" t="str">
        <f aca="false">IF(NOT(COUNTA($A365:$H365)&gt;0),"",IF(K365&amp;L365&amp;M365&lt;&gt;"","ERROR",IF(N365&amp;O365&amp;P365&lt;&gt;"","CHECK","OK")))</f>
        <v/>
      </c>
      <c r="J365" s="14" t="str">
        <f aca="false">TRIM(K365&amp;L365&amp;M365&amp;N365&amp;O365&amp;P365)</f>
        <v/>
      </c>
      <c r="K365" s="15" t="str">
        <f aca="true">IF(NOT(COUNTA($A365:$H365)&gt;0),"",IF(A365="","Missing date. ",IF(NOT(ISNUMBER(A365)),"Date is not a real date. ",IF(YEAR(A365)&lt;&gt;Settings!$B$4,"Date outside tax year. ",IF(A365&gt;TODAY(),"Date is in the future. ","")))))</f>
        <v/>
      </c>
      <c r="L365" s="15" t="str">
        <f aca="false">IF(NOT(COUNTA($A365:$H365)&gt;0),"",IF(E365="","Missing amount. ",IF(NOT(ISNUMBER(E365)),"Amount is not a number. ",IF(E365&lt;=0,"Amount must be above zero. ",""))))</f>
        <v/>
      </c>
      <c r="M365" s="15" t="str">
        <f aca="false">IF(NOT(COUNTA($A365:$H365)&gt;0),"",IF(D365="","Missing category. ",IF(COUNTIF(Settings!$B$11:$B$40,D365)=0,"Category not in your list. ","")))</f>
        <v/>
      </c>
      <c r="N365" s="15" t="str">
        <f aca="false">IF(AND(ISNUMBER(A365),ISNUMBER(E365),B365&lt;&gt;""),IF(COUNTIFS($A$6:$A$505,A365,$B$6:$B$505,B365,$E$6:$E$505,E365)&gt;1,"Possible duplicate. ",""),"")</f>
        <v/>
      </c>
      <c r="O365" s="15" t="str">
        <f aca="false">IF(AND(ISNUMBER(E365),E365&gt;=Settings!$B$6,G365&lt;&gt;"Yes"),"Receipt not marked as saved. ","")</f>
        <v/>
      </c>
      <c r="P365" s="15" t="str">
        <f aca="false">IF(AND(ISNUMBER(E365),E365&gt;=Settings!$B$5),"Large amount: review. ","")</f>
        <v/>
      </c>
    </row>
    <row r="366" customFormat="false" ht="15" hidden="false" customHeight="false" outlineLevel="0" collapsed="false">
      <c r="A366" s="10"/>
      <c r="B366" s="11"/>
      <c r="C366" s="11"/>
      <c r="D366" s="11"/>
      <c r="E366" s="12"/>
      <c r="F366" s="11"/>
      <c r="G366" s="11"/>
      <c r="H366" s="11"/>
      <c r="I366" s="13" t="str">
        <f aca="false">IF(NOT(COUNTA($A366:$H366)&gt;0),"",IF(K366&amp;L366&amp;M366&lt;&gt;"","ERROR",IF(N366&amp;O366&amp;P366&lt;&gt;"","CHECK","OK")))</f>
        <v/>
      </c>
      <c r="J366" s="14" t="str">
        <f aca="false">TRIM(K366&amp;L366&amp;M366&amp;N366&amp;O366&amp;P366)</f>
        <v/>
      </c>
      <c r="K366" s="15" t="str">
        <f aca="true">IF(NOT(COUNTA($A366:$H366)&gt;0),"",IF(A366="","Missing date. ",IF(NOT(ISNUMBER(A366)),"Date is not a real date. ",IF(YEAR(A366)&lt;&gt;Settings!$B$4,"Date outside tax year. ",IF(A366&gt;TODAY(),"Date is in the future. ","")))))</f>
        <v/>
      </c>
      <c r="L366" s="15" t="str">
        <f aca="false">IF(NOT(COUNTA($A366:$H366)&gt;0),"",IF(E366="","Missing amount. ",IF(NOT(ISNUMBER(E366)),"Amount is not a number. ",IF(E366&lt;=0,"Amount must be above zero. ",""))))</f>
        <v/>
      </c>
      <c r="M366" s="15" t="str">
        <f aca="false">IF(NOT(COUNTA($A366:$H366)&gt;0),"",IF(D366="","Missing category. ",IF(COUNTIF(Settings!$B$11:$B$40,D366)=0,"Category not in your list. ","")))</f>
        <v/>
      </c>
      <c r="N366" s="15" t="str">
        <f aca="false">IF(AND(ISNUMBER(A366),ISNUMBER(E366),B366&lt;&gt;""),IF(COUNTIFS($A$6:$A$505,A366,$B$6:$B$505,B366,$E$6:$E$505,E366)&gt;1,"Possible duplicate. ",""),"")</f>
        <v/>
      </c>
      <c r="O366" s="15" t="str">
        <f aca="false">IF(AND(ISNUMBER(E366),E366&gt;=Settings!$B$6,G366&lt;&gt;"Yes"),"Receipt not marked as saved. ","")</f>
        <v/>
      </c>
      <c r="P366" s="15" t="str">
        <f aca="false">IF(AND(ISNUMBER(E366),E366&gt;=Settings!$B$5),"Large amount: review. ","")</f>
        <v/>
      </c>
    </row>
    <row r="367" customFormat="false" ht="15" hidden="false" customHeight="false" outlineLevel="0" collapsed="false">
      <c r="A367" s="10"/>
      <c r="B367" s="11"/>
      <c r="C367" s="11"/>
      <c r="D367" s="11"/>
      <c r="E367" s="12"/>
      <c r="F367" s="11"/>
      <c r="G367" s="11"/>
      <c r="H367" s="11"/>
      <c r="I367" s="13" t="str">
        <f aca="false">IF(NOT(COUNTA($A367:$H367)&gt;0),"",IF(K367&amp;L367&amp;M367&lt;&gt;"","ERROR",IF(N367&amp;O367&amp;P367&lt;&gt;"","CHECK","OK")))</f>
        <v/>
      </c>
      <c r="J367" s="14" t="str">
        <f aca="false">TRIM(K367&amp;L367&amp;M367&amp;N367&amp;O367&amp;P367)</f>
        <v/>
      </c>
      <c r="K367" s="15" t="str">
        <f aca="true">IF(NOT(COUNTA($A367:$H367)&gt;0),"",IF(A367="","Missing date. ",IF(NOT(ISNUMBER(A367)),"Date is not a real date. ",IF(YEAR(A367)&lt;&gt;Settings!$B$4,"Date outside tax year. ",IF(A367&gt;TODAY(),"Date is in the future. ","")))))</f>
        <v/>
      </c>
      <c r="L367" s="15" t="str">
        <f aca="false">IF(NOT(COUNTA($A367:$H367)&gt;0),"",IF(E367="","Missing amount. ",IF(NOT(ISNUMBER(E367)),"Amount is not a number. ",IF(E367&lt;=0,"Amount must be above zero. ",""))))</f>
        <v/>
      </c>
      <c r="M367" s="15" t="str">
        <f aca="false">IF(NOT(COUNTA($A367:$H367)&gt;0),"",IF(D367="","Missing category. ",IF(COUNTIF(Settings!$B$11:$B$40,D367)=0,"Category not in your list. ","")))</f>
        <v/>
      </c>
      <c r="N367" s="15" t="str">
        <f aca="false">IF(AND(ISNUMBER(A367),ISNUMBER(E367),B367&lt;&gt;""),IF(COUNTIFS($A$6:$A$505,A367,$B$6:$B$505,B367,$E$6:$E$505,E367)&gt;1,"Possible duplicate. ",""),"")</f>
        <v/>
      </c>
      <c r="O367" s="15" t="str">
        <f aca="false">IF(AND(ISNUMBER(E367),E367&gt;=Settings!$B$6,G367&lt;&gt;"Yes"),"Receipt not marked as saved. ","")</f>
        <v/>
      </c>
      <c r="P367" s="15" t="str">
        <f aca="false">IF(AND(ISNUMBER(E367),E367&gt;=Settings!$B$5),"Large amount: review. ","")</f>
        <v/>
      </c>
    </row>
    <row r="368" customFormat="false" ht="15" hidden="false" customHeight="false" outlineLevel="0" collapsed="false">
      <c r="A368" s="10"/>
      <c r="B368" s="11"/>
      <c r="C368" s="11"/>
      <c r="D368" s="11"/>
      <c r="E368" s="12"/>
      <c r="F368" s="11"/>
      <c r="G368" s="11"/>
      <c r="H368" s="11"/>
      <c r="I368" s="13" t="str">
        <f aca="false">IF(NOT(COUNTA($A368:$H368)&gt;0),"",IF(K368&amp;L368&amp;M368&lt;&gt;"","ERROR",IF(N368&amp;O368&amp;P368&lt;&gt;"","CHECK","OK")))</f>
        <v/>
      </c>
      <c r="J368" s="14" t="str">
        <f aca="false">TRIM(K368&amp;L368&amp;M368&amp;N368&amp;O368&amp;P368)</f>
        <v/>
      </c>
      <c r="K368" s="15" t="str">
        <f aca="true">IF(NOT(COUNTA($A368:$H368)&gt;0),"",IF(A368="","Missing date. ",IF(NOT(ISNUMBER(A368)),"Date is not a real date. ",IF(YEAR(A368)&lt;&gt;Settings!$B$4,"Date outside tax year. ",IF(A368&gt;TODAY(),"Date is in the future. ","")))))</f>
        <v/>
      </c>
      <c r="L368" s="15" t="str">
        <f aca="false">IF(NOT(COUNTA($A368:$H368)&gt;0),"",IF(E368="","Missing amount. ",IF(NOT(ISNUMBER(E368)),"Amount is not a number. ",IF(E368&lt;=0,"Amount must be above zero. ",""))))</f>
        <v/>
      </c>
      <c r="M368" s="15" t="str">
        <f aca="false">IF(NOT(COUNTA($A368:$H368)&gt;0),"",IF(D368="","Missing category. ",IF(COUNTIF(Settings!$B$11:$B$40,D368)=0,"Category not in your list. ","")))</f>
        <v/>
      </c>
      <c r="N368" s="15" t="str">
        <f aca="false">IF(AND(ISNUMBER(A368),ISNUMBER(E368),B368&lt;&gt;""),IF(COUNTIFS($A$6:$A$505,A368,$B$6:$B$505,B368,$E$6:$E$505,E368)&gt;1,"Possible duplicate. ",""),"")</f>
        <v/>
      </c>
      <c r="O368" s="15" t="str">
        <f aca="false">IF(AND(ISNUMBER(E368),E368&gt;=Settings!$B$6,G368&lt;&gt;"Yes"),"Receipt not marked as saved. ","")</f>
        <v/>
      </c>
      <c r="P368" s="15" t="str">
        <f aca="false">IF(AND(ISNUMBER(E368),E368&gt;=Settings!$B$5),"Large amount: review. ","")</f>
        <v/>
      </c>
    </row>
    <row r="369" customFormat="false" ht="15" hidden="false" customHeight="false" outlineLevel="0" collapsed="false">
      <c r="A369" s="10"/>
      <c r="B369" s="11"/>
      <c r="C369" s="11"/>
      <c r="D369" s="11"/>
      <c r="E369" s="12"/>
      <c r="F369" s="11"/>
      <c r="G369" s="11"/>
      <c r="H369" s="11"/>
      <c r="I369" s="13" t="str">
        <f aca="false">IF(NOT(COUNTA($A369:$H369)&gt;0),"",IF(K369&amp;L369&amp;M369&lt;&gt;"","ERROR",IF(N369&amp;O369&amp;P369&lt;&gt;"","CHECK","OK")))</f>
        <v/>
      </c>
      <c r="J369" s="14" t="str">
        <f aca="false">TRIM(K369&amp;L369&amp;M369&amp;N369&amp;O369&amp;P369)</f>
        <v/>
      </c>
      <c r="K369" s="15" t="str">
        <f aca="true">IF(NOT(COUNTA($A369:$H369)&gt;0),"",IF(A369="","Missing date. ",IF(NOT(ISNUMBER(A369)),"Date is not a real date. ",IF(YEAR(A369)&lt;&gt;Settings!$B$4,"Date outside tax year. ",IF(A369&gt;TODAY(),"Date is in the future. ","")))))</f>
        <v/>
      </c>
      <c r="L369" s="15" t="str">
        <f aca="false">IF(NOT(COUNTA($A369:$H369)&gt;0),"",IF(E369="","Missing amount. ",IF(NOT(ISNUMBER(E369)),"Amount is not a number. ",IF(E369&lt;=0,"Amount must be above zero. ",""))))</f>
        <v/>
      </c>
      <c r="M369" s="15" t="str">
        <f aca="false">IF(NOT(COUNTA($A369:$H369)&gt;0),"",IF(D369="","Missing category. ",IF(COUNTIF(Settings!$B$11:$B$40,D369)=0,"Category not in your list. ","")))</f>
        <v/>
      </c>
      <c r="N369" s="15" t="str">
        <f aca="false">IF(AND(ISNUMBER(A369),ISNUMBER(E369),B369&lt;&gt;""),IF(COUNTIFS($A$6:$A$505,A369,$B$6:$B$505,B369,$E$6:$E$505,E369)&gt;1,"Possible duplicate. ",""),"")</f>
        <v/>
      </c>
      <c r="O369" s="15" t="str">
        <f aca="false">IF(AND(ISNUMBER(E369),E369&gt;=Settings!$B$6,G369&lt;&gt;"Yes"),"Receipt not marked as saved. ","")</f>
        <v/>
      </c>
      <c r="P369" s="15" t="str">
        <f aca="false">IF(AND(ISNUMBER(E369),E369&gt;=Settings!$B$5),"Large amount: review. ","")</f>
        <v/>
      </c>
    </row>
    <row r="370" customFormat="false" ht="15" hidden="false" customHeight="false" outlineLevel="0" collapsed="false">
      <c r="A370" s="10"/>
      <c r="B370" s="11"/>
      <c r="C370" s="11"/>
      <c r="D370" s="11"/>
      <c r="E370" s="12"/>
      <c r="F370" s="11"/>
      <c r="G370" s="11"/>
      <c r="H370" s="11"/>
      <c r="I370" s="13" t="str">
        <f aca="false">IF(NOT(COUNTA($A370:$H370)&gt;0),"",IF(K370&amp;L370&amp;M370&lt;&gt;"","ERROR",IF(N370&amp;O370&amp;P370&lt;&gt;"","CHECK","OK")))</f>
        <v/>
      </c>
      <c r="J370" s="14" t="str">
        <f aca="false">TRIM(K370&amp;L370&amp;M370&amp;N370&amp;O370&amp;P370)</f>
        <v/>
      </c>
      <c r="K370" s="15" t="str">
        <f aca="true">IF(NOT(COUNTA($A370:$H370)&gt;0),"",IF(A370="","Missing date. ",IF(NOT(ISNUMBER(A370)),"Date is not a real date. ",IF(YEAR(A370)&lt;&gt;Settings!$B$4,"Date outside tax year. ",IF(A370&gt;TODAY(),"Date is in the future. ","")))))</f>
        <v/>
      </c>
      <c r="L370" s="15" t="str">
        <f aca="false">IF(NOT(COUNTA($A370:$H370)&gt;0),"",IF(E370="","Missing amount. ",IF(NOT(ISNUMBER(E370)),"Amount is not a number. ",IF(E370&lt;=0,"Amount must be above zero. ",""))))</f>
        <v/>
      </c>
      <c r="M370" s="15" t="str">
        <f aca="false">IF(NOT(COUNTA($A370:$H370)&gt;0),"",IF(D370="","Missing category. ",IF(COUNTIF(Settings!$B$11:$B$40,D370)=0,"Category not in your list. ","")))</f>
        <v/>
      </c>
      <c r="N370" s="15" t="str">
        <f aca="false">IF(AND(ISNUMBER(A370),ISNUMBER(E370),B370&lt;&gt;""),IF(COUNTIFS($A$6:$A$505,A370,$B$6:$B$505,B370,$E$6:$E$505,E370)&gt;1,"Possible duplicate. ",""),"")</f>
        <v/>
      </c>
      <c r="O370" s="15" t="str">
        <f aca="false">IF(AND(ISNUMBER(E370),E370&gt;=Settings!$B$6,G370&lt;&gt;"Yes"),"Receipt not marked as saved. ","")</f>
        <v/>
      </c>
      <c r="P370" s="15" t="str">
        <f aca="false">IF(AND(ISNUMBER(E370),E370&gt;=Settings!$B$5),"Large amount: review. ","")</f>
        <v/>
      </c>
    </row>
    <row r="371" customFormat="false" ht="15" hidden="false" customHeight="false" outlineLevel="0" collapsed="false">
      <c r="A371" s="10"/>
      <c r="B371" s="11"/>
      <c r="C371" s="11"/>
      <c r="D371" s="11"/>
      <c r="E371" s="12"/>
      <c r="F371" s="11"/>
      <c r="G371" s="11"/>
      <c r="H371" s="11"/>
      <c r="I371" s="13" t="str">
        <f aca="false">IF(NOT(COUNTA($A371:$H371)&gt;0),"",IF(K371&amp;L371&amp;M371&lt;&gt;"","ERROR",IF(N371&amp;O371&amp;P371&lt;&gt;"","CHECK","OK")))</f>
        <v/>
      </c>
      <c r="J371" s="14" t="str">
        <f aca="false">TRIM(K371&amp;L371&amp;M371&amp;N371&amp;O371&amp;P371)</f>
        <v/>
      </c>
      <c r="K371" s="15" t="str">
        <f aca="true">IF(NOT(COUNTA($A371:$H371)&gt;0),"",IF(A371="","Missing date. ",IF(NOT(ISNUMBER(A371)),"Date is not a real date. ",IF(YEAR(A371)&lt;&gt;Settings!$B$4,"Date outside tax year. ",IF(A371&gt;TODAY(),"Date is in the future. ","")))))</f>
        <v/>
      </c>
      <c r="L371" s="15" t="str">
        <f aca="false">IF(NOT(COUNTA($A371:$H371)&gt;0),"",IF(E371="","Missing amount. ",IF(NOT(ISNUMBER(E371)),"Amount is not a number. ",IF(E371&lt;=0,"Amount must be above zero. ",""))))</f>
        <v/>
      </c>
      <c r="M371" s="15" t="str">
        <f aca="false">IF(NOT(COUNTA($A371:$H371)&gt;0),"",IF(D371="","Missing category. ",IF(COUNTIF(Settings!$B$11:$B$40,D371)=0,"Category not in your list. ","")))</f>
        <v/>
      </c>
      <c r="N371" s="15" t="str">
        <f aca="false">IF(AND(ISNUMBER(A371),ISNUMBER(E371),B371&lt;&gt;""),IF(COUNTIFS($A$6:$A$505,A371,$B$6:$B$505,B371,$E$6:$E$505,E371)&gt;1,"Possible duplicate. ",""),"")</f>
        <v/>
      </c>
      <c r="O371" s="15" t="str">
        <f aca="false">IF(AND(ISNUMBER(E371),E371&gt;=Settings!$B$6,G371&lt;&gt;"Yes"),"Receipt not marked as saved. ","")</f>
        <v/>
      </c>
      <c r="P371" s="15" t="str">
        <f aca="false">IF(AND(ISNUMBER(E371),E371&gt;=Settings!$B$5),"Large amount: review. ","")</f>
        <v/>
      </c>
    </row>
    <row r="372" customFormat="false" ht="15" hidden="false" customHeight="false" outlineLevel="0" collapsed="false">
      <c r="A372" s="10"/>
      <c r="B372" s="11"/>
      <c r="C372" s="11"/>
      <c r="D372" s="11"/>
      <c r="E372" s="12"/>
      <c r="F372" s="11"/>
      <c r="G372" s="11"/>
      <c r="H372" s="11"/>
      <c r="I372" s="13" t="str">
        <f aca="false">IF(NOT(COUNTA($A372:$H372)&gt;0),"",IF(K372&amp;L372&amp;M372&lt;&gt;"","ERROR",IF(N372&amp;O372&amp;P372&lt;&gt;"","CHECK","OK")))</f>
        <v/>
      </c>
      <c r="J372" s="14" t="str">
        <f aca="false">TRIM(K372&amp;L372&amp;M372&amp;N372&amp;O372&amp;P372)</f>
        <v/>
      </c>
      <c r="K372" s="15" t="str">
        <f aca="true">IF(NOT(COUNTA($A372:$H372)&gt;0),"",IF(A372="","Missing date. ",IF(NOT(ISNUMBER(A372)),"Date is not a real date. ",IF(YEAR(A372)&lt;&gt;Settings!$B$4,"Date outside tax year. ",IF(A372&gt;TODAY(),"Date is in the future. ","")))))</f>
        <v/>
      </c>
      <c r="L372" s="15" t="str">
        <f aca="false">IF(NOT(COUNTA($A372:$H372)&gt;0),"",IF(E372="","Missing amount. ",IF(NOT(ISNUMBER(E372)),"Amount is not a number. ",IF(E372&lt;=0,"Amount must be above zero. ",""))))</f>
        <v/>
      </c>
      <c r="M372" s="15" t="str">
        <f aca="false">IF(NOT(COUNTA($A372:$H372)&gt;0),"",IF(D372="","Missing category. ",IF(COUNTIF(Settings!$B$11:$B$40,D372)=0,"Category not in your list. ","")))</f>
        <v/>
      </c>
      <c r="N372" s="15" t="str">
        <f aca="false">IF(AND(ISNUMBER(A372),ISNUMBER(E372),B372&lt;&gt;""),IF(COUNTIFS($A$6:$A$505,A372,$B$6:$B$505,B372,$E$6:$E$505,E372)&gt;1,"Possible duplicate. ",""),"")</f>
        <v/>
      </c>
      <c r="O372" s="15" t="str">
        <f aca="false">IF(AND(ISNUMBER(E372),E372&gt;=Settings!$B$6,G372&lt;&gt;"Yes"),"Receipt not marked as saved. ","")</f>
        <v/>
      </c>
      <c r="P372" s="15" t="str">
        <f aca="false">IF(AND(ISNUMBER(E372),E372&gt;=Settings!$B$5),"Large amount: review. ","")</f>
        <v/>
      </c>
    </row>
    <row r="373" customFormat="false" ht="15" hidden="false" customHeight="false" outlineLevel="0" collapsed="false">
      <c r="A373" s="10"/>
      <c r="B373" s="11"/>
      <c r="C373" s="11"/>
      <c r="D373" s="11"/>
      <c r="E373" s="12"/>
      <c r="F373" s="11"/>
      <c r="G373" s="11"/>
      <c r="H373" s="11"/>
      <c r="I373" s="13" t="str">
        <f aca="false">IF(NOT(COUNTA($A373:$H373)&gt;0),"",IF(K373&amp;L373&amp;M373&lt;&gt;"","ERROR",IF(N373&amp;O373&amp;P373&lt;&gt;"","CHECK","OK")))</f>
        <v/>
      </c>
      <c r="J373" s="14" t="str">
        <f aca="false">TRIM(K373&amp;L373&amp;M373&amp;N373&amp;O373&amp;P373)</f>
        <v/>
      </c>
      <c r="K373" s="15" t="str">
        <f aca="true">IF(NOT(COUNTA($A373:$H373)&gt;0),"",IF(A373="","Missing date. ",IF(NOT(ISNUMBER(A373)),"Date is not a real date. ",IF(YEAR(A373)&lt;&gt;Settings!$B$4,"Date outside tax year. ",IF(A373&gt;TODAY(),"Date is in the future. ","")))))</f>
        <v/>
      </c>
      <c r="L373" s="15" t="str">
        <f aca="false">IF(NOT(COUNTA($A373:$H373)&gt;0),"",IF(E373="","Missing amount. ",IF(NOT(ISNUMBER(E373)),"Amount is not a number. ",IF(E373&lt;=0,"Amount must be above zero. ",""))))</f>
        <v/>
      </c>
      <c r="M373" s="15" t="str">
        <f aca="false">IF(NOT(COUNTA($A373:$H373)&gt;0),"",IF(D373="","Missing category. ",IF(COUNTIF(Settings!$B$11:$B$40,D373)=0,"Category not in your list. ","")))</f>
        <v/>
      </c>
      <c r="N373" s="15" t="str">
        <f aca="false">IF(AND(ISNUMBER(A373),ISNUMBER(E373),B373&lt;&gt;""),IF(COUNTIFS($A$6:$A$505,A373,$B$6:$B$505,B373,$E$6:$E$505,E373)&gt;1,"Possible duplicate. ",""),"")</f>
        <v/>
      </c>
      <c r="O373" s="15" t="str">
        <f aca="false">IF(AND(ISNUMBER(E373),E373&gt;=Settings!$B$6,G373&lt;&gt;"Yes"),"Receipt not marked as saved. ","")</f>
        <v/>
      </c>
      <c r="P373" s="15" t="str">
        <f aca="false">IF(AND(ISNUMBER(E373),E373&gt;=Settings!$B$5),"Large amount: review. ","")</f>
        <v/>
      </c>
    </row>
    <row r="374" customFormat="false" ht="15" hidden="false" customHeight="false" outlineLevel="0" collapsed="false">
      <c r="A374" s="10"/>
      <c r="B374" s="11"/>
      <c r="C374" s="11"/>
      <c r="D374" s="11"/>
      <c r="E374" s="12"/>
      <c r="F374" s="11"/>
      <c r="G374" s="11"/>
      <c r="H374" s="11"/>
      <c r="I374" s="13" t="str">
        <f aca="false">IF(NOT(COUNTA($A374:$H374)&gt;0),"",IF(K374&amp;L374&amp;M374&lt;&gt;"","ERROR",IF(N374&amp;O374&amp;P374&lt;&gt;"","CHECK","OK")))</f>
        <v/>
      </c>
      <c r="J374" s="14" t="str">
        <f aca="false">TRIM(K374&amp;L374&amp;M374&amp;N374&amp;O374&amp;P374)</f>
        <v/>
      </c>
      <c r="K374" s="15" t="str">
        <f aca="true">IF(NOT(COUNTA($A374:$H374)&gt;0),"",IF(A374="","Missing date. ",IF(NOT(ISNUMBER(A374)),"Date is not a real date. ",IF(YEAR(A374)&lt;&gt;Settings!$B$4,"Date outside tax year. ",IF(A374&gt;TODAY(),"Date is in the future. ","")))))</f>
        <v/>
      </c>
      <c r="L374" s="15" t="str">
        <f aca="false">IF(NOT(COUNTA($A374:$H374)&gt;0),"",IF(E374="","Missing amount. ",IF(NOT(ISNUMBER(E374)),"Amount is not a number. ",IF(E374&lt;=0,"Amount must be above zero. ",""))))</f>
        <v/>
      </c>
      <c r="M374" s="15" t="str">
        <f aca="false">IF(NOT(COUNTA($A374:$H374)&gt;0),"",IF(D374="","Missing category. ",IF(COUNTIF(Settings!$B$11:$B$40,D374)=0,"Category not in your list. ","")))</f>
        <v/>
      </c>
      <c r="N374" s="15" t="str">
        <f aca="false">IF(AND(ISNUMBER(A374),ISNUMBER(E374),B374&lt;&gt;""),IF(COUNTIFS($A$6:$A$505,A374,$B$6:$B$505,B374,$E$6:$E$505,E374)&gt;1,"Possible duplicate. ",""),"")</f>
        <v/>
      </c>
      <c r="O374" s="15" t="str">
        <f aca="false">IF(AND(ISNUMBER(E374),E374&gt;=Settings!$B$6,G374&lt;&gt;"Yes"),"Receipt not marked as saved. ","")</f>
        <v/>
      </c>
      <c r="P374" s="15" t="str">
        <f aca="false">IF(AND(ISNUMBER(E374),E374&gt;=Settings!$B$5),"Large amount: review. ","")</f>
        <v/>
      </c>
    </row>
    <row r="375" customFormat="false" ht="15" hidden="false" customHeight="false" outlineLevel="0" collapsed="false">
      <c r="A375" s="10"/>
      <c r="B375" s="11"/>
      <c r="C375" s="11"/>
      <c r="D375" s="11"/>
      <c r="E375" s="12"/>
      <c r="F375" s="11"/>
      <c r="G375" s="11"/>
      <c r="H375" s="11"/>
      <c r="I375" s="13" t="str">
        <f aca="false">IF(NOT(COUNTA($A375:$H375)&gt;0),"",IF(K375&amp;L375&amp;M375&lt;&gt;"","ERROR",IF(N375&amp;O375&amp;P375&lt;&gt;"","CHECK","OK")))</f>
        <v/>
      </c>
      <c r="J375" s="14" t="str">
        <f aca="false">TRIM(K375&amp;L375&amp;M375&amp;N375&amp;O375&amp;P375)</f>
        <v/>
      </c>
      <c r="K375" s="15" t="str">
        <f aca="true">IF(NOT(COUNTA($A375:$H375)&gt;0),"",IF(A375="","Missing date. ",IF(NOT(ISNUMBER(A375)),"Date is not a real date. ",IF(YEAR(A375)&lt;&gt;Settings!$B$4,"Date outside tax year. ",IF(A375&gt;TODAY(),"Date is in the future. ","")))))</f>
        <v/>
      </c>
      <c r="L375" s="15" t="str">
        <f aca="false">IF(NOT(COUNTA($A375:$H375)&gt;0),"",IF(E375="","Missing amount. ",IF(NOT(ISNUMBER(E375)),"Amount is not a number. ",IF(E375&lt;=0,"Amount must be above zero. ",""))))</f>
        <v/>
      </c>
      <c r="M375" s="15" t="str">
        <f aca="false">IF(NOT(COUNTA($A375:$H375)&gt;0),"",IF(D375="","Missing category. ",IF(COUNTIF(Settings!$B$11:$B$40,D375)=0,"Category not in your list. ","")))</f>
        <v/>
      </c>
      <c r="N375" s="15" t="str">
        <f aca="false">IF(AND(ISNUMBER(A375),ISNUMBER(E375),B375&lt;&gt;""),IF(COUNTIFS($A$6:$A$505,A375,$B$6:$B$505,B375,$E$6:$E$505,E375)&gt;1,"Possible duplicate. ",""),"")</f>
        <v/>
      </c>
      <c r="O375" s="15" t="str">
        <f aca="false">IF(AND(ISNUMBER(E375),E375&gt;=Settings!$B$6,G375&lt;&gt;"Yes"),"Receipt not marked as saved. ","")</f>
        <v/>
      </c>
      <c r="P375" s="15" t="str">
        <f aca="false">IF(AND(ISNUMBER(E375),E375&gt;=Settings!$B$5),"Large amount: review. ","")</f>
        <v/>
      </c>
    </row>
    <row r="376" customFormat="false" ht="15" hidden="false" customHeight="false" outlineLevel="0" collapsed="false">
      <c r="A376" s="10"/>
      <c r="B376" s="11"/>
      <c r="C376" s="11"/>
      <c r="D376" s="11"/>
      <c r="E376" s="12"/>
      <c r="F376" s="11"/>
      <c r="G376" s="11"/>
      <c r="H376" s="11"/>
      <c r="I376" s="13" t="str">
        <f aca="false">IF(NOT(COUNTA($A376:$H376)&gt;0),"",IF(K376&amp;L376&amp;M376&lt;&gt;"","ERROR",IF(N376&amp;O376&amp;P376&lt;&gt;"","CHECK","OK")))</f>
        <v/>
      </c>
      <c r="J376" s="14" t="str">
        <f aca="false">TRIM(K376&amp;L376&amp;M376&amp;N376&amp;O376&amp;P376)</f>
        <v/>
      </c>
      <c r="K376" s="15" t="str">
        <f aca="true">IF(NOT(COUNTA($A376:$H376)&gt;0),"",IF(A376="","Missing date. ",IF(NOT(ISNUMBER(A376)),"Date is not a real date. ",IF(YEAR(A376)&lt;&gt;Settings!$B$4,"Date outside tax year. ",IF(A376&gt;TODAY(),"Date is in the future. ","")))))</f>
        <v/>
      </c>
      <c r="L376" s="15" t="str">
        <f aca="false">IF(NOT(COUNTA($A376:$H376)&gt;0),"",IF(E376="","Missing amount. ",IF(NOT(ISNUMBER(E376)),"Amount is not a number. ",IF(E376&lt;=0,"Amount must be above zero. ",""))))</f>
        <v/>
      </c>
      <c r="M376" s="15" t="str">
        <f aca="false">IF(NOT(COUNTA($A376:$H376)&gt;0),"",IF(D376="","Missing category. ",IF(COUNTIF(Settings!$B$11:$B$40,D376)=0,"Category not in your list. ","")))</f>
        <v/>
      </c>
      <c r="N376" s="15" t="str">
        <f aca="false">IF(AND(ISNUMBER(A376),ISNUMBER(E376),B376&lt;&gt;""),IF(COUNTIFS($A$6:$A$505,A376,$B$6:$B$505,B376,$E$6:$E$505,E376)&gt;1,"Possible duplicate. ",""),"")</f>
        <v/>
      </c>
      <c r="O376" s="15" t="str">
        <f aca="false">IF(AND(ISNUMBER(E376),E376&gt;=Settings!$B$6,G376&lt;&gt;"Yes"),"Receipt not marked as saved. ","")</f>
        <v/>
      </c>
      <c r="P376" s="15" t="str">
        <f aca="false">IF(AND(ISNUMBER(E376),E376&gt;=Settings!$B$5),"Large amount: review. ","")</f>
        <v/>
      </c>
    </row>
    <row r="377" customFormat="false" ht="15" hidden="false" customHeight="false" outlineLevel="0" collapsed="false">
      <c r="A377" s="10"/>
      <c r="B377" s="11"/>
      <c r="C377" s="11"/>
      <c r="D377" s="11"/>
      <c r="E377" s="12"/>
      <c r="F377" s="11"/>
      <c r="G377" s="11"/>
      <c r="H377" s="11"/>
      <c r="I377" s="13" t="str">
        <f aca="false">IF(NOT(COUNTA($A377:$H377)&gt;0),"",IF(K377&amp;L377&amp;M377&lt;&gt;"","ERROR",IF(N377&amp;O377&amp;P377&lt;&gt;"","CHECK","OK")))</f>
        <v/>
      </c>
      <c r="J377" s="14" t="str">
        <f aca="false">TRIM(K377&amp;L377&amp;M377&amp;N377&amp;O377&amp;P377)</f>
        <v/>
      </c>
      <c r="K377" s="15" t="str">
        <f aca="true">IF(NOT(COUNTA($A377:$H377)&gt;0),"",IF(A377="","Missing date. ",IF(NOT(ISNUMBER(A377)),"Date is not a real date. ",IF(YEAR(A377)&lt;&gt;Settings!$B$4,"Date outside tax year. ",IF(A377&gt;TODAY(),"Date is in the future. ","")))))</f>
        <v/>
      </c>
      <c r="L377" s="15" t="str">
        <f aca="false">IF(NOT(COUNTA($A377:$H377)&gt;0),"",IF(E377="","Missing amount. ",IF(NOT(ISNUMBER(E377)),"Amount is not a number. ",IF(E377&lt;=0,"Amount must be above zero. ",""))))</f>
        <v/>
      </c>
      <c r="M377" s="15" t="str">
        <f aca="false">IF(NOT(COUNTA($A377:$H377)&gt;0),"",IF(D377="","Missing category. ",IF(COUNTIF(Settings!$B$11:$B$40,D377)=0,"Category not in your list. ","")))</f>
        <v/>
      </c>
      <c r="N377" s="15" t="str">
        <f aca="false">IF(AND(ISNUMBER(A377),ISNUMBER(E377),B377&lt;&gt;""),IF(COUNTIFS($A$6:$A$505,A377,$B$6:$B$505,B377,$E$6:$E$505,E377)&gt;1,"Possible duplicate. ",""),"")</f>
        <v/>
      </c>
      <c r="O377" s="15" t="str">
        <f aca="false">IF(AND(ISNUMBER(E377),E377&gt;=Settings!$B$6,G377&lt;&gt;"Yes"),"Receipt not marked as saved. ","")</f>
        <v/>
      </c>
      <c r="P377" s="15" t="str">
        <f aca="false">IF(AND(ISNUMBER(E377),E377&gt;=Settings!$B$5),"Large amount: review. ","")</f>
        <v/>
      </c>
    </row>
    <row r="378" customFormat="false" ht="15" hidden="false" customHeight="false" outlineLevel="0" collapsed="false">
      <c r="A378" s="10"/>
      <c r="B378" s="11"/>
      <c r="C378" s="11"/>
      <c r="D378" s="11"/>
      <c r="E378" s="12"/>
      <c r="F378" s="11"/>
      <c r="G378" s="11"/>
      <c r="H378" s="11"/>
      <c r="I378" s="13" t="str">
        <f aca="false">IF(NOT(COUNTA($A378:$H378)&gt;0),"",IF(K378&amp;L378&amp;M378&lt;&gt;"","ERROR",IF(N378&amp;O378&amp;P378&lt;&gt;"","CHECK","OK")))</f>
        <v/>
      </c>
      <c r="J378" s="14" t="str">
        <f aca="false">TRIM(K378&amp;L378&amp;M378&amp;N378&amp;O378&amp;P378)</f>
        <v/>
      </c>
      <c r="K378" s="15" t="str">
        <f aca="true">IF(NOT(COUNTA($A378:$H378)&gt;0),"",IF(A378="","Missing date. ",IF(NOT(ISNUMBER(A378)),"Date is not a real date. ",IF(YEAR(A378)&lt;&gt;Settings!$B$4,"Date outside tax year. ",IF(A378&gt;TODAY(),"Date is in the future. ","")))))</f>
        <v/>
      </c>
      <c r="L378" s="15" t="str">
        <f aca="false">IF(NOT(COUNTA($A378:$H378)&gt;0),"",IF(E378="","Missing amount. ",IF(NOT(ISNUMBER(E378)),"Amount is not a number. ",IF(E378&lt;=0,"Amount must be above zero. ",""))))</f>
        <v/>
      </c>
      <c r="M378" s="15" t="str">
        <f aca="false">IF(NOT(COUNTA($A378:$H378)&gt;0),"",IF(D378="","Missing category. ",IF(COUNTIF(Settings!$B$11:$B$40,D378)=0,"Category not in your list. ","")))</f>
        <v/>
      </c>
      <c r="N378" s="15" t="str">
        <f aca="false">IF(AND(ISNUMBER(A378),ISNUMBER(E378),B378&lt;&gt;""),IF(COUNTIFS($A$6:$A$505,A378,$B$6:$B$505,B378,$E$6:$E$505,E378)&gt;1,"Possible duplicate. ",""),"")</f>
        <v/>
      </c>
      <c r="O378" s="15" t="str">
        <f aca="false">IF(AND(ISNUMBER(E378),E378&gt;=Settings!$B$6,G378&lt;&gt;"Yes"),"Receipt not marked as saved. ","")</f>
        <v/>
      </c>
      <c r="P378" s="15" t="str">
        <f aca="false">IF(AND(ISNUMBER(E378),E378&gt;=Settings!$B$5),"Large amount: review. ","")</f>
        <v/>
      </c>
    </row>
    <row r="379" customFormat="false" ht="15" hidden="false" customHeight="false" outlineLevel="0" collapsed="false">
      <c r="A379" s="10"/>
      <c r="B379" s="11"/>
      <c r="C379" s="11"/>
      <c r="D379" s="11"/>
      <c r="E379" s="12"/>
      <c r="F379" s="11"/>
      <c r="G379" s="11"/>
      <c r="H379" s="11"/>
      <c r="I379" s="13" t="str">
        <f aca="false">IF(NOT(COUNTA($A379:$H379)&gt;0),"",IF(K379&amp;L379&amp;M379&lt;&gt;"","ERROR",IF(N379&amp;O379&amp;P379&lt;&gt;"","CHECK","OK")))</f>
        <v/>
      </c>
      <c r="J379" s="14" t="str">
        <f aca="false">TRIM(K379&amp;L379&amp;M379&amp;N379&amp;O379&amp;P379)</f>
        <v/>
      </c>
      <c r="K379" s="15" t="str">
        <f aca="true">IF(NOT(COUNTA($A379:$H379)&gt;0),"",IF(A379="","Missing date. ",IF(NOT(ISNUMBER(A379)),"Date is not a real date. ",IF(YEAR(A379)&lt;&gt;Settings!$B$4,"Date outside tax year. ",IF(A379&gt;TODAY(),"Date is in the future. ","")))))</f>
        <v/>
      </c>
      <c r="L379" s="15" t="str">
        <f aca="false">IF(NOT(COUNTA($A379:$H379)&gt;0),"",IF(E379="","Missing amount. ",IF(NOT(ISNUMBER(E379)),"Amount is not a number. ",IF(E379&lt;=0,"Amount must be above zero. ",""))))</f>
        <v/>
      </c>
      <c r="M379" s="15" t="str">
        <f aca="false">IF(NOT(COUNTA($A379:$H379)&gt;0),"",IF(D379="","Missing category. ",IF(COUNTIF(Settings!$B$11:$B$40,D379)=0,"Category not in your list. ","")))</f>
        <v/>
      </c>
      <c r="N379" s="15" t="str">
        <f aca="false">IF(AND(ISNUMBER(A379),ISNUMBER(E379),B379&lt;&gt;""),IF(COUNTIFS($A$6:$A$505,A379,$B$6:$B$505,B379,$E$6:$E$505,E379)&gt;1,"Possible duplicate. ",""),"")</f>
        <v/>
      </c>
      <c r="O379" s="15" t="str">
        <f aca="false">IF(AND(ISNUMBER(E379),E379&gt;=Settings!$B$6,G379&lt;&gt;"Yes"),"Receipt not marked as saved. ","")</f>
        <v/>
      </c>
      <c r="P379" s="15" t="str">
        <f aca="false">IF(AND(ISNUMBER(E379),E379&gt;=Settings!$B$5),"Large amount: review. ","")</f>
        <v/>
      </c>
    </row>
    <row r="380" customFormat="false" ht="15" hidden="false" customHeight="false" outlineLevel="0" collapsed="false">
      <c r="A380" s="10"/>
      <c r="B380" s="11"/>
      <c r="C380" s="11"/>
      <c r="D380" s="11"/>
      <c r="E380" s="12"/>
      <c r="F380" s="11"/>
      <c r="G380" s="11"/>
      <c r="H380" s="11"/>
      <c r="I380" s="13" t="str">
        <f aca="false">IF(NOT(COUNTA($A380:$H380)&gt;0),"",IF(K380&amp;L380&amp;M380&lt;&gt;"","ERROR",IF(N380&amp;O380&amp;P380&lt;&gt;"","CHECK","OK")))</f>
        <v/>
      </c>
      <c r="J380" s="14" t="str">
        <f aca="false">TRIM(K380&amp;L380&amp;M380&amp;N380&amp;O380&amp;P380)</f>
        <v/>
      </c>
      <c r="K380" s="15" t="str">
        <f aca="true">IF(NOT(COUNTA($A380:$H380)&gt;0),"",IF(A380="","Missing date. ",IF(NOT(ISNUMBER(A380)),"Date is not a real date. ",IF(YEAR(A380)&lt;&gt;Settings!$B$4,"Date outside tax year. ",IF(A380&gt;TODAY(),"Date is in the future. ","")))))</f>
        <v/>
      </c>
      <c r="L380" s="15" t="str">
        <f aca="false">IF(NOT(COUNTA($A380:$H380)&gt;0),"",IF(E380="","Missing amount. ",IF(NOT(ISNUMBER(E380)),"Amount is not a number. ",IF(E380&lt;=0,"Amount must be above zero. ",""))))</f>
        <v/>
      </c>
      <c r="M380" s="15" t="str">
        <f aca="false">IF(NOT(COUNTA($A380:$H380)&gt;0),"",IF(D380="","Missing category. ",IF(COUNTIF(Settings!$B$11:$B$40,D380)=0,"Category not in your list. ","")))</f>
        <v/>
      </c>
      <c r="N380" s="15" t="str">
        <f aca="false">IF(AND(ISNUMBER(A380),ISNUMBER(E380),B380&lt;&gt;""),IF(COUNTIFS($A$6:$A$505,A380,$B$6:$B$505,B380,$E$6:$E$505,E380)&gt;1,"Possible duplicate. ",""),"")</f>
        <v/>
      </c>
      <c r="O380" s="15" t="str">
        <f aca="false">IF(AND(ISNUMBER(E380),E380&gt;=Settings!$B$6,G380&lt;&gt;"Yes"),"Receipt not marked as saved. ","")</f>
        <v/>
      </c>
      <c r="P380" s="15" t="str">
        <f aca="false">IF(AND(ISNUMBER(E380),E380&gt;=Settings!$B$5),"Large amount: review. ","")</f>
        <v/>
      </c>
    </row>
    <row r="381" customFormat="false" ht="15" hidden="false" customHeight="false" outlineLevel="0" collapsed="false">
      <c r="A381" s="10"/>
      <c r="B381" s="11"/>
      <c r="C381" s="11"/>
      <c r="D381" s="11"/>
      <c r="E381" s="12"/>
      <c r="F381" s="11"/>
      <c r="G381" s="11"/>
      <c r="H381" s="11"/>
      <c r="I381" s="13" t="str">
        <f aca="false">IF(NOT(COUNTA($A381:$H381)&gt;0),"",IF(K381&amp;L381&amp;M381&lt;&gt;"","ERROR",IF(N381&amp;O381&amp;P381&lt;&gt;"","CHECK","OK")))</f>
        <v/>
      </c>
      <c r="J381" s="14" t="str">
        <f aca="false">TRIM(K381&amp;L381&amp;M381&amp;N381&amp;O381&amp;P381)</f>
        <v/>
      </c>
      <c r="K381" s="15" t="str">
        <f aca="true">IF(NOT(COUNTA($A381:$H381)&gt;0),"",IF(A381="","Missing date. ",IF(NOT(ISNUMBER(A381)),"Date is not a real date. ",IF(YEAR(A381)&lt;&gt;Settings!$B$4,"Date outside tax year. ",IF(A381&gt;TODAY(),"Date is in the future. ","")))))</f>
        <v/>
      </c>
      <c r="L381" s="15" t="str">
        <f aca="false">IF(NOT(COUNTA($A381:$H381)&gt;0),"",IF(E381="","Missing amount. ",IF(NOT(ISNUMBER(E381)),"Amount is not a number. ",IF(E381&lt;=0,"Amount must be above zero. ",""))))</f>
        <v/>
      </c>
      <c r="M381" s="15" t="str">
        <f aca="false">IF(NOT(COUNTA($A381:$H381)&gt;0),"",IF(D381="","Missing category. ",IF(COUNTIF(Settings!$B$11:$B$40,D381)=0,"Category not in your list. ","")))</f>
        <v/>
      </c>
      <c r="N381" s="15" t="str">
        <f aca="false">IF(AND(ISNUMBER(A381),ISNUMBER(E381),B381&lt;&gt;""),IF(COUNTIFS($A$6:$A$505,A381,$B$6:$B$505,B381,$E$6:$E$505,E381)&gt;1,"Possible duplicate. ",""),"")</f>
        <v/>
      </c>
      <c r="O381" s="15" t="str">
        <f aca="false">IF(AND(ISNUMBER(E381),E381&gt;=Settings!$B$6,G381&lt;&gt;"Yes"),"Receipt not marked as saved. ","")</f>
        <v/>
      </c>
      <c r="P381" s="15" t="str">
        <f aca="false">IF(AND(ISNUMBER(E381),E381&gt;=Settings!$B$5),"Large amount: review. ","")</f>
        <v/>
      </c>
    </row>
    <row r="382" customFormat="false" ht="15" hidden="false" customHeight="false" outlineLevel="0" collapsed="false">
      <c r="A382" s="10"/>
      <c r="B382" s="11"/>
      <c r="C382" s="11"/>
      <c r="D382" s="11"/>
      <c r="E382" s="12"/>
      <c r="F382" s="11"/>
      <c r="G382" s="11"/>
      <c r="H382" s="11"/>
      <c r="I382" s="13" t="str">
        <f aca="false">IF(NOT(COUNTA($A382:$H382)&gt;0),"",IF(K382&amp;L382&amp;M382&lt;&gt;"","ERROR",IF(N382&amp;O382&amp;P382&lt;&gt;"","CHECK","OK")))</f>
        <v/>
      </c>
      <c r="J382" s="14" t="str">
        <f aca="false">TRIM(K382&amp;L382&amp;M382&amp;N382&amp;O382&amp;P382)</f>
        <v/>
      </c>
      <c r="K382" s="15" t="str">
        <f aca="true">IF(NOT(COUNTA($A382:$H382)&gt;0),"",IF(A382="","Missing date. ",IF(NOT(ISNUMBER(A382)),"Date is not a real date. ",IF(YEAR(A382)&lt;&gt;Settings!$B$4,"Date outside tax year. ",IF(A382&gt;TODAY(),"Date is in the future. ","")))))</f>
        <v/>
      </c>
      <c r="L382" s="15" t="str">
        <f aca="false">IF(NOT(COUNTA($A382:$H382)&gt;0),"",IF(E382="","Missing amount. ",IF(NOT(ISNUMBER(E382)),"Amount is not a number. ",IF(E382&lt;=0,"Amount must be above zero. ",""))))</f>
        <v/>
      </c>
      <c r="M382" s="15" t="str">
        <f aca="false">IF(NOT(COUNTA($A382:$H382)&gt;0),"",IF(D382="","Missing category. ",IF(COUNTIF(Settings!$B$11:$B$40,D382)=0,"Category not in your list. ","")))</f>
        <v/>
      </c>
      <c r="N382" s="15" t="str">
        <f aca="false">IF(AND(ISNUMBER(A382),ISNUMBER(E382),B382&lt;&gt;""),IF(COUNTIFS($A$6:$A$505,A382,$B$6:$B$505,B382,$E$6:$E$505,E382)&gt;1,"Possible duplicate. ",""),"")</f>
        <v/>
      </c>
      <c r="O382" s="15" t="str">
        <f aca="false">IF(AND(ISNUMBER(E382),E382&gt;=Settings!$B$6,G382&lt;&gt;"Yes"),"Receipt not marked as saved. ","")</f>
        <v/>
      </c>
      <c r="P382" s="15" t="str">
        <f aca="false">IF(AND(ISNUMBER(E382),E382&gt;=Settings!$B$5),"Large amount: review. ","")</f>
        <v/>
      </c>
    </row>
    <row r="383" customFormat="false" ht="15" hidden="false" customHeight="false" outlineLevel="0" collapsed="false">
      <c r="A383" s="10"/>
      <c r="B383" s="11"/>
      <c r="C383" s="11"/>
      <c r="D383" s="11"/>
      <c r="E383" s="12"/>
      <c r="F383" s="11"/>
      <c r="G383" s="11"/>
      <c r="H383" s="11"/>
      <c r="I383" s="13" t="str">
        <f aca="false">IF(NOT(COUNTA($A383:$H383)&gt;0),"",IF(K383&amp;L383&amp;M383&lt;&gt;"","ERROR",IF(N383&amp;O383&amp;P383&lt;&gt;"","CHECK","OK")))</f>
        <v/>
      </c>
      <c r="J383" s="14" t="str">
        <f aca="false">TRIM(K383&amp;L383&amp;M383&amp;N383&amp;O383&amp;P383)</f>
        <v/>
      </c>
      <c r="K383" s="15" t="str">
        <f aca="true">IF(NOT(COUNTA($A383:$H383)&gt;0),"",IF(A383="","Missing date. ",IF(NOT(ISNUMBER(A383)),"Date is not a real date. ",IF(YEAR(A383)&lt;&gt;Settings!$B$4,"Date outside tax year. ",IF(A383&gt;TODAY(),"Date is in the future. ","")))))</f>
        <v/>
      </c>
      <c r="L383" s="15" t="str">
        <f aca="false">IF(NOT(COUNTA($A383:$H383)&gt;0),"",IF(E383="","Missing amount. ",IF(NOT(ISNUMBER(E383)),"Amount is not a number. ",IF(E383&lt;=0,"Amount must be above zero. ",""))))</f>
        <v/>
      </c>
      <c r="M383" s="15" t="str">
        <f aca="false">IF(NOT(COUNTA($A383:$H383)&gt;0),"",IF(D383="","Missing category. ",IF(COUNTIF(Settings!$B$11:$B$40,D383)=0,"Category not in your list. ","")))</f>
        <v/>
      </c>
      <c r="N383" s="15" t="str">
        <f aca="false">IF(AND(ISNUMBER(A383),ISNUMBER(E383),B383&lt;&gt;""),IF(COUNTIFS($A$6:$A$505,A383,$B$6:$B$505,B383,$E$6:$E$505,E383)&gt;1,"Possible duplicate. ",""),"")</f>
        <v/>
      </c>
      <c r="O383" s="15" t="str">
        <f aca="false">IF(AND(ISNUMBER(E383),E383&gt;=Settings!$B$6,G383&lt;&gt;"Yes"),"Receipt not marked as saved. ","")</f>
        <v/>
      </c>
      <c r="P383" s="15" t="str">
        <f aca="false">IF(AND(ISNUMBER(E383),E383&gt;=Settings!$B$5),"Large amount: review. ","")</f>
        <v/>
      </c>
    </row>
    <row r="384" customFormat="false" ht="15" hidden="false" customHeight="false" outlineLevel="0" collapsed="false">
      <c r="A384" s="10"/>
      <c r="B384" s="11"/>
      <c r="C384" s="11"/>
      <c r="D384" s="11"/>
      <c r="E384" s="12"/>
      <c r="F384" s="11"/>
      <c r="G384" s="11"/>
      <c r="H384" s="11"/>
      <c r="I384" s="13" t="str">
        <f aca="false">IF(NOT(COUNTA($A384:$H384)&gt;0),"",IF(K384&amp;L384&amp;M384&lt;&gt;"","ERROR",IF(N384&amp;O384&amp;P384&lt;&gt;"","CHECK","OK")))</f>
        <v/>
      </c>
      <c r="J384" s="14" t="str">
        <f aca="false">TRIM(K384&amp;L384&amp;M384&amp;N384&amp;O384&amp;P384)</f>
        <v/>
      </c>
      <c r="K384" s="15" t="str">
        <f aca="true">IF(NOT(COUNTA($A384:$H384)&gt;0),"",IF(A384="","Missing date. ",IF(NOT(ISNUMBER(A384)),"Date is not a real date. ",IF(YEAR(A384)&lt;&gt;Settings!$B$4,"Date outside tax year. ",IF(A384&gt;TODAY(),"Date is in the future. ","")))))</f>
        <v/>
      </c>
      <c r="L384" s="15" t="str">
        <f aca="false">IF(NOT(COUNTA($A384:$H384)&gt;0),"",IF(E384="","Missing amount. ",IF(NOT(ISNUMBER(E384)),"Amount is not a number. ",IF(E384&lt;=0,"Amount must be above zero. ",""))))</f>
        <v/>
      </c>
      <c r="M384" s="15" t="str">
        <f aca="false">IF(NOT(COUNTA($A384:$H384)&gt;0),"",IF(D384="","Missing category. ",IF(COUNTIF(Settings!$B$11:$B$40,D384)=0,"Category not in your list. ","")))</f>
        <v/>
      </c>
      <c r="N384" s="15" t="str">
        <f aca="false">IF(AND(ISNUMBER(A384),ISNUMBER(E384),B384&lt;&gt;""),IF(COUNTIFS($A$6:$A$505,A384,$B$6:$B$505,B384,$E$6:$E$505,E384)&gt;1,"Possible duplicate. ",""),"")</f>
        <v/>
      </c>
      <c r="O384" s="15" t="str">
        <f aca="false">IF(AND(ISNUMBER(E384),E384&gt;=Settings!$B$6,G384&lt;&gt;"Yes"),"Receipt not marked as saved. ","")</f>
        <v/>
      </c>
      <c r="P384" s="15" t="str">
        <f aca="false">IF(AND(ISNUMBER(E384),E384&gt;=Settings!$B$5),"Large amount: review. ","")</f>
        <v/>
      </c>
    </row>
    <row r="385" customFormat="false" ht="15" hidden="false" customHeight="false" outlineLevel="0" collapsed="false">
      <c r="A385" s="10"/>
      <c r="B385" s="11"/>
      <c r="C385" s="11"/>
      <c r="D385" s="11"/>
      <c r="E385" s="12"/>
      <c r="F385" s="11"/>
      <c r="G385" s="11"/>
      <c r="H385" s="11"/>
      <c r="I385" s="13" t="str">
        <f aca="false">IF(NOT(COUNTA($A385:$H385)&gt;0),"",IF(K385&amp;L385&amp;M385&lt;&gt;"","ERROR",IF(N385&amp;O385&amp;P385&lt;&gt;"","CHECK","OK")))</f>
        <v/>
      </c>
      <c r="J385" s="14" t="str">
        <f aca="false">TRIM(K385&amp;L385&amp;M385&amp;N385&amp;O385&amp;P385)</f>
        <v/>
      </c>
      <c r="K385" s="15" t="str">
        <f aca="true">IF(NOT(COUNTA($A385:$H385)&gt;0),"",IF(A385="","Missing date. ",IF(NOT(ISNUMBER(A385)),"Date is not a real date. ",IF(YEAR(A385)&lt;&gt;Settings!$B$4,"Date outside tax year. ",IF(A385&gt;TODAY(),"Date is in the future. ","")))))</f>
        <v/>
      </c>
      <c r="L385" s="15" t="str">
        <f aca="false">IF(NOT(COUNTA($A385:$H385)&gt;0),"",IF(E385="","Missing amount. ",IF(NOT(ISNUMBER(E385)),"Amount is not a number. ",IF(E385&lt;=0,"Amount must be above zero. ",""))))</f>
        <v/>
      </c>
      <c r="M385" s="15" t="str">
        <f aca="false">IF(NOT(COUNTA($A385:$H385)&gt;0),"",IF(D385="","Missing category. ",IF(COUNTIF(Settings!$B$11:$B$40,D385)=0,"Category not in your list. ","")))</f>
        <v/>
      </c>
      <c r="N385" s="15" t="str">
        <f aca="false">IF(AND(ISNUMBER(A385),ISNUMBER(E385),B385&lt;&gt;""),IF(COUNTIFS($A$6:$A$505,A385,$B$6:$B$505,B385,$E$6:$E$505,E385)&gt;1,"Possible duplicate. ",""),"")</f>
        <v/>
      </c>
      <c r="O385" s="15" t="str">
        <f aca="false">IF(AND(ISNUMBER(E385),E385&gt;=Settings!$B$6,G385&lt;&gt;"Yes"),"Receipt not marked as saved. ","")</f>
        <v/>
      </c>
      <c r="P385" s="15" t="str">
        <f aca="false">IF(AND(ISNUMBER(E385),E385&gt;=Settings!$B$5),"Large amount: review. ","")</f>
        <v/>
      </c>
    </row>
    <row r="386" customFormat="false" ht="15" hidden="false" customHeight="false" outlineLevel="0" collapsed="false">
      <c r="A386" s="10"/>
      <c r="B386" s="11"/>
      <c r="C386" s="11"/>
      <c r="D386" s="11"/>
      <c r="E386" s="12"/>
      <c r="F386" s="11"/>
      <c r="G386" s="11"/>
      <c r="H386" s="11"/>
      <c r="I386" s="13" t="str">
        <f aca="false">IF(NOT(COUNTA($A386:$H386)&gt;0),"",IF(K386&amp;L386&amp;M386&lt;&gt;"","ERROR",IF(N386&amp;O386&amp;P386&lt;&gt;"","CHECK","OK")))</f>
        <v/>
      </c>
      <c r="J386" s="14" t="str">
        <f aca="false">TRIM(K386&amp;L386&amp;M386&amp;N386&amp;O386&amp;P386)</f>
        <v/>
      </c>
      <c r="K386" s="15" t="str">
        <f aca="true">IF(NOT(COUNTA($A386:$H386)&gt;0),"",IF(A386="","Missing date. ",IF(NOT(ISNUMBER(A386)),"Date is not a real date. ",IF(YEAR(A386)&lt;&gt;Settings!$B$4,"Date outside tax year. ",IF(A386&gt;TODAY(),"Date is in the future. ","")))))</f>
        <v/>
      </c>
      <c r="L386" s="15" t="str">
        <f aca="false">IF(NOT(COUNTA($A386:$H386)&gt;0),"",IF(E386="","Missing amount. ",IF(NOT(ISNUMBER(E386)),"Amount is not a number. ",IF(E386&lt;=0,"Amount must be above zero. ",""))))</f>
        <v/>
      </c>
      <c r="M386" s="15" t="str">
        <f aca="false">IF(NOT(COUNTA($A386:$H386)&gt;0),"",IF(D386="","Missing category. ",IF(COUNTIF(Settings!$B$11:$B$40,D386)=0,"Category not in your list. ","")))</f>
        <v/>
      </c>
      <c r="N386" s="15" t="str">
        <f aca="false">IF(AND(ISNUMBER(A386),ISNUMBER(E386),B386&lt;&gt;""),IF(COUNTIFS($A$6:$A$505,A386,$B$6:$B$505,B386,$E$6:$E$505,E386)&gt;1,"Possible duplicate. ",""),"")</f>
        <v/>
      </c>
      <c r="O386" s="15" t="str">
        <f aca="false">IF(AND(ISNUMBER(E386),E386&gt;=Settings!$B$6,G386&lt;&gt;"Yes"),"Receipt not marked as saved. ","")</f>
        <v/>
      </c>
      <c r="P386" s="15" t="str">
        <f aca="false">IF(AND(ISNUMBER(E386),E386&gt;=Settings!$B$5),"Large amount: review. ","")</f>
        <v/>
      </c>
    </row>
    <row r="387" customFormat="false" ht="15" hidden="false" customHeight="false" outlineLevel="0" collapsed="false">
      <c r="A387" s="10"/>
      <c r="B387" s="11"/>
      <c r="C387" s="11"/>
      <c r="D387" s="11"/>
      <c r="E387" s="12"/>
      <c r="F387" s="11"/>
      <c r="G387" s="11"/>
      <c r="H387" s="11"/>
      <c r="I387" s="13" t="str">
        <f aca="false">IF(NOT(COUNTA($A387:$H387)&gt;0),"",IF(K387&amp;L387&amp;M387&lt;&gt;"","ERROR",IF(N387&amp;O387&amp;P387&lt;&gt;"","CHECK","OK")))</f>
        <v/>
      </c>
      <c r="J387" s="14" t="str">
        <f aca="false">TRIM(K387&amp;L387&amp;M387&amp;N387&amp;O387&amp;P387)</f>
        <v/>
      </c>
      <c r="K387" s="15" t="str">
        <f aca="true">IF(NOT(COUNTA($A387:$H387)&gt;0),"",IF(A387="","Missing date. ",IF(NOT(ISNUMBER(A387)),"Date is not a real date. ",IF(YEAR(A387)&lt;&gt;Settings!$B$4,"Date outside tax year. ",IF(A387&gt;TODAY(),"Date is in the future. ","")))))</f>
        <v/>
      </c>
      <c r="L387" s="15" t="str">
        <f aca="false">IF(NOT(COUNTA($A387:$H387)&gt;0),"",IF(E387="","Missing amount. ",IF(NOT(ISNUMBER(E387)),"Amount is not a number. ",IF(E387&lt;=0,"Amount must be above zero. ",""))))</f>
        <v/>
      </c>
      <c r="M387" s="15" t="str">
        <f aca="false">IF(NOT(COUNTA($A387:$H387)&gt;0),"",IF(D387="","Missing category. ",IF(COUNTIF(Settings!$B$11:$B$40,D387)=0,"Category not in your list. ","")))</f>
        <v/>
      </c>
      <c r="N387" s="15" t="str">
        <f aca="false">IF(AND(ISNUMBER(A387),ISNUMBER(E387),B387&lt;&gt;""),IF(COUNTIFS($A$6:$A$505,A387,$B$6:$B$505,B387,$E$6:$E$505,E387)&gt;1,"Possible duplicate. ",""),"")</f>
        <v/>
      </c>
      <c r="O387" s="15" t="str">
        <f aca="false">IF(AND(ISNUMBER(E387),E387&gt;=Settings!$B$6,G387&lt;&gt;"Yes"),"Receipt not marked as saved. ","")</f>
        <v/>
      </c>
      <c r="P387" s="15" t="str">
        <f aca="false">IF(AND(ISNUMBER(E387),E387&gt;=Settings!$B$5),"Large amount: review. ","")</f>
        <v/>
      </c>
    </row>
    <row r="388" customFormat="false" ht="15" hidden="false" customHeight="false" outlineLevel="0" collapsed="false">
      <c r="A388" s="10"/>
      <c r="B388" s="11"/>
      <c r="C388" s="11"/>
      <c r="D388" s="11"/>
      <c r="E388" s="12"/>
      <c r="F388" s="11"/>
      <c r="G388" s="11"/>
      <c r="H388" s="11"/>
      <c r="I388" s="13" t="str">
        <f aca="false">IF(NOT(COUNTA($A388:$H388)&gt;0),"",IF(K388&amp;L388&amp;M388&lt;&gt;"","ERROR",IF(N388&amp;O388&amp;P388&lt;&gt;"","CHECK","OK")))</f>
        <v/>
      </c>
      <c r="J388" s="14" t="str">
        <f aca="false">TRIM(K388&amp;L388&amp;M388&amp;N388&amp;O388&amp;P388)</f>
        <v/>
      </c>
      <c r="K388" s="15" t="str">
        <f aca="true">IF(NOT(COUNTA($A388:$H388)&gt;0),"",IF(A388="","Missing date. ",IF(NOT(ISNUMBER(A388)),"Date is not a real date. ",IF(YEAR(A388)&lt;&gt;Settings!$B$4,"Date outside tax year. ",IF(A388&gt;TODAY(),"Date is in the future. ","")))))</f>
        <v/>
      </c>
      <c r="L388" s="15" t="str">
        <f aca="false">IF(NOT(COUNTA($A388:$H388)&gt;0),"",IF(E388="","Missing amount. ",IF(NOT(ISNUMBER(E388)),"Amount is not a number. ",IF(E388&lt;=0,"Amount must be above zero. ",""))))</f>
        <v/>
      </c>
      <c r="M388" s="15" t="str">
        <f aca="false">IF(NOT(COUNTA($A388:$H388)&gt;0),"",IF(D388="","Missing category. ",IF(COUNTIF(Settings!$B$11:$B$40,D388)=0,"Category not in your list. ","")))</f>
        <v/>
      </c>
      <c r="N388" s="15" t="str">
        <f aca="false">IF(AND(ISNUMBER(A388),ISNUMBER(E388),B388&lt;&gt;""),IF(COUNTIFS($A$6:$A$505,A388,$B$6:$B$505,B388,$E$6:$E$505,E388)&gt;1,"Possible duplicate. ",""),"")</f>
        <v/>
      </c>
      <c r="O388" s="15" t="str">
        <f aca="false">IF(AND(ISNUMBER(E388),E388&gt;=Settings!$B$6,G388&lt;&gt;"Yes"),"Receipt not marked as saved. ","")</f>
        <v/>
      </c>
      <c r="P388" s="15" t="str">
        <f aca="false">IF(AND(ISNUMBER(E388),E388&gt;=Settings!$B$5),"Large amount: review. ","")</f>
        <v/>
      </c>
    </row>
    <row r="389" customFormat="false" ht="15" hidden="false" customHeight="false" outlineLevel="0" collapsed="false">
      <c r="A389" s="10"/>
      <c r="B389" s="11"/>
      <c r="C389" s="11"/>
      <c r="D389" s="11"/>
      <c r="E389" s="12"/>
      <c r="F389" s="11"/>
      <c r="G389" s="11"/>
      <c r="H389" s="11"/>
      <c r="I389" s="13" t="str">
        <f aca="false">IF(NOT(COUNTA($A389:$H389)&gt;0),"",IF(K389&amp;L389&amp;M389&lt;&gt;"","ERROR",IF(N389&amp;O389&amp;P389&lt;&gt;"","CHECK","OK")))</f>
        <v/>
      </c>
      <c r="J389" s="14" t="str">
        <f aca="false">TRIM(K389&amp;L389&amp;M389&amp;N389&amp;O389&amp;P389)</f>
        <v/>
      </c>
      <c r="K389" s="15" t="str">
        <f aca="true">IF(NOT(COUNTA($A389:$H389)&gt;0),"",IF(A389="","Missing date. ",IF(NOT(ISNUMBER(A389)),"Date is not a real date. ",IF(YEAR(A389)&lt;&gt;Settings!$B$4,"Date outside tax year. ",IF(A389&gt;TODAY(),"Date is in the future. ","")))))</f>
        <v/>
      </c>
      <c r="L389" s="15" t="str">
        <f aca="false">IF(NOT(COUNTA($A389:$H389)&gt;0),"",IF(E389="","Missing amount. ",IF(NOT(ISNUMBER(E389)),"Amount is not a number. ",IF(E389&lt;=0,"Amount must be above zero. ",""))))</f>
        <v/>
      </c>
      <c r="M389" s="15" t="str">
        <f aca="false">IF(NOT(COUNTA($A389:$H389)&gt;0),"",IF(D389="","Missing category. ",IF(COUNTIF(Settings!$B$11:$B$40,D389)=0,"Category not in your list. ","")))</f>
        <v/>
      </c>
      <c r="N389" s="15" t="str">
        <f aca="false">IF(AND(ISNUMBER(A389),ISNUMBER(E389),B389&lt;&gt;""),IF(COUNTIFS($A$6:$A$505,A389,$B$6:$B$505,B389,$E$6:$E$505,E389)&gt;1,"Possible duplicate. ",""),"")</f>
        <v/>
      </c>
      <c r="O389" s="15" t="str">
        <f aca="false">IF(AND(ISNUMBER(E389),E389&gt;=Settings!$B$6,G389&lt;&gt;"Yes"),"Receipt not marked as saved. ","")</f>
        <v/>
      </c>
      <c r="P389" s="15" t="str">
        <f aca="false">IF(AND(ISNUMBER(E389),E389&gt;=Settings!$B$5),"Large amount: review. ","")</f>
        <v/>
      </c>
    </row>
    <row r="390" customFormat="false" ht="15" hidden="false" customHeight="false" outlineLevel="0" collapsed="false">
      <c r="A390" s="10"/>
      <c r="B390" s="11"/>
      <c r="C390" s="11"/>
      <c r="D390" s="11"/>
      <c r="E390" s="12"/>
      <c r="F390" s="11"/>
      <c r="G390" s="11"/>
      <c r="H390" s="11"/>
      <c r="I390" s="13" t="str">
        <f aca="false">IF(NOT(COUNTA($A390:$H390)&gt;0),"",IF(K390&amp;L390&amp;M390&lt;&gt;"","ERROR",IF(N390&amp;O390&amp;P390&lt;&gt;"","CHECK","OK")))</f>
        <v/>
      </c>
      <c r="J390" s="14" t="str">
        <f aca="false">TRIM(K390&amp;L390&amp;M390&amp;N390&amp;O390&amp;P390)</f>
        <v/>
      </c>
      <c r="K390" s="15" t="str">
        <f aca="true">IF(NOT(COUNTA($A390:$H390)&gt;0),"",IF(A390="","Missing date. ",IF(NOT(ISNUMBER(A390)),"Date is not a real date. ",IF(YEAR(A390)&lt;&gt;Settings!$B$4,"Date outside tax year. ",IF(A390&gt;TODAY(),"Date is in the future. ","")))))</f>
        <v/>
      </c>
      <c r="L390" s="15" t="str">
        <f aca="false">IF(NOT(COUNTA($A390:$H390)&gt;0),"",IF(E390="","Missing amount. ",IF(NOT(ISNUMBER(E390)),"Amount is not a number. ",IF(E390&lt;=0,"Amount must be above zero. ",""))))</f>
        <v/>
      </c>
      <c r="M390" s="15" t="str">
        <f aca="false">IF(NOT(COUNTA($A390:$H390)&gt;0),"",IF(D390="","Missing category. ",IF(COUNTIF(Settings!$B$11:$B$40,D390)=0,"Category not in your list. ","")))</f>
        <v/>
      </c>
      <c r="N390" s="15" t="str">
        <f aca="false">IF(AND(ISNUMBER(A390),ISNUMBER(E390),B390&lt;&gt;""),IF(COUNTIFS($A$6:$A$505,A390,$B$6:$B$505,B390,$E$6:$E$505,E390)&gt;1,"Possible duplicate. ",""),"")</f>
        <v/>
      </c>
      <c r="O390" s="15" t="str">
        <f aca="false">IF(AND(ISNUMBER(E390),E390&gt;=Settings!$B$6,G390&lt;&gt;"Yes"),"Receipt not marked as saved. ","")</f>
        <v/>
      </c>
      <c r="P390" s="15" t="str">
        <f aca="false">IF(AND(ISNUMBER(E390),E390&gt;=Settings!$B$5),"Large amount: review. ","")</f>
        <v/>
      </c>
    </row>
    <row r="391" customFormat="false" ht="15" hidden="false" customHeight="false" outlineLevel="0" collapsed="false">
      <c r="A391" s="10"/>
      <c r="B391" s="11"/>
      <c r="C391" s="11"/>
      <c r="D391" s="11"/>
      <c r="E391" s="12"/>
      <c r="F391" s="11"/>
      <c r="G391" s="11"/>
      <c r="H391" s="11"/>
      <c r="I391" s="13" t="str">
        <f aca="false">IF(NOT(COUNTA($A391:$H391)&gt;0),"",IF(K391&amp;L391&amp;M391&lt;&gt;"","ERROR",IF(N391&amp;O391&amp;P391&lt;&gt;"","CHECK","OK")))</f>
        <v/>
      </c>
      <c r="J391" s="14" t="str">
        <f aca="false">TRIM(K391&amp;L391&amp;M391&amp;N391&amp;O391&amp;P391)</f>
        <v/>
      </c>
      <c r="K391" s="15" t="str">
        <f aca="true">IF(NOT(COUNTA($A391:$H391)&gt;0),"",IF(A391="","Missing date. ",IF(NOT(ISNUMBER(A391)),"Date is not a real date. ",IF(YEAR(A391)&lt;&gt;Settings!$B$4,"Date outside tax year. ",IF(A391&gt;TODAY(),"Date is in the future. ","")))))</f>
        <v/>
      </c>
      <c r="L391" s="15" t="str">
        <f aca="false">IF(NOT(COUNTA($A391:$H391)&gt;0),"",IF(E391="","Missing amount. ",IF(NOT(ISNUMBER(E391)),"Amount is not a number. ",IF(E391&lt;=0,"Amount must be above zero. ",""))))</f>
        <v/>
      </c>
      <c r="M391" s="15" t="str">
        <f aca="false">IF(NOT(COUNTA($A391:$H391)&gt;0),"",IF(D391="","Missing category. ",IF(COUNTIF(Settings!$B$11:$B$40,D391)=0,"Category not in your list. ","")))</f>
        <v/>
      </c>
      <c r="N391" s="15" t="str">
        <f aca="false">IF(AND(ISNUMBER(A391),ISNUMBER(E391),B391&lt;&gt;""),IF(COUNTIFS($A$6:$A$505,A391,$B$6:$B$505,B391,$E$6:$E$505,E391)&gt;1,"Possible duplicate. ",""),"")</f>
        <v/>
      </c>
      <c r="O391" s="15" t="str">
        <f aca="false">IF(AND(ISNUMBER(E391),E391&gt;=Settings!$B$6,G391&lt;&gt;"Yes"),"Receipt not marked as saved. ","")</f>
        <v/>
      </c>
      <c r="P391" s="15" t="str">
        <f aca="false">IF(AND(ISNUMBER(E391),E391&gt;=Settings!$B$5),"Large amount: review. ","")</f>
        <v/>
      </c>
    </row>
    <row r="392" customFormat="false" ht="15" hidden="false" customHeight="false" outlineLevel="0" collapsed="false">
      <c r="A392" s="10"/>
      <c r="B392" s="11"/>
      <c r="C392" s="11"/>
      <c r="D392" s="11"/>
      <c r="E392" s="12"/>
      <c r="F392" s="11"/>
      <c r="G392" s="11"/>
      <c r="H392" s="11"/>
      <c r="I392" s="13" t="str">
        <f aca="false">IF(NOT(COUNTA($A392:$H392)&gt;0),"",IF(K392&amp;L392&amp;M392&lt;&gt;"","ERROR",IF(N392&amp;O392&amp;P392&lt;&gt;"","CHECK","OK")))</f>
        <v/>
      </c>
      <c r="J392" s="14" t="str">
        <f aca="false">TRIM(K392&amp;L392&amp;M392&amp;N392&amp;O392&amp;P392)</f>
        <v/>
      </c>
      <c r="K392" s="15" t="str">
        <f aca="true">IF(NOT(COUNTA($A392:$H392)&gt;0),"",IF(A392="","Missing date. ",IF(NOT(ISNUMBER(A392)),"Date is not a real date. ",IF(YEAR(A392)&lt;&gt;Settings!$B$4,"Date outside tax year. ",IF(A392&gt;TODAY(),"Date is in the future. ","")))))</f>
        <v/>
      </c>
      <c r="L392" s="15" t="str">
        <f aca="false">IF(NOT(COUNTA($A392:$H392)&gt;0),"",IF(E392="","Missing amount. ",IF(NOT(ISNUMBER(E392)),"Amount is not a number. ",IF(E392&lt;=0,"Amount must be above zero. ",""))))</f>
        <v/>
      </c>
      <c r="M392" s="15" t="str">
        <f aca="false">IF(NOT(COUNTA($A392:$H392)&gt;0),"",IF(D392="","Missing category. ",IF(COUNTIF(Settings!$B$11:$B$40,D392)=0,"Category not in your list. ","")))</f>
        <v/>
      </c>
      <c r="N392" s="15" t="str">
        <f aca="false">IF(AND(ISNUMBER(A392),ISNUMBER(E392),B392&lt;&gt;""),IF(COUNTIFS($A$6:$A$505,A392,$B$6:$B$505,B392,$E$6:$E$505,E392)&gt;1,"Possible duplicate. ",""),"")</f>
        <v/>
      </c>
      <c r="O392" s="15" t="str">
        <f aca="false">IF(AND(ISNUMBER(E392),E392&gt;=Settings!$B$6,G392&lt;&gt;"Yes"),"Receipt not marked as saved. ","")</f>
        <v/>
      </c>
      <c r="P392" s="15" t="str">
        <f aca="false">IF(AND(ISNUMBER(E392),E392&gt;=Settings!$B$5),"Large amount: review. ","")</f>
        <v/>
      </c>
    </row>
    <row r="393" customFormat="false" ht="15" hidden="false" customHeight="false" outlineLevel="0" collapsed="false">
      <c r="A393" s="10"/>
      <c r="B393" s="11"/>
      <c r="C393" s="11"/>
      <c r="D393" s="11"/>
      <c r="E393" s="12"/>
      <c r="F393" s="11"/>
      <c r="G393" s="11"/>
      <c r="H393" s="11"/>
      <c r="I393" s="13" t="str">
        <f aca="false">IF(NOT(COUNTA($A393:$H393)&gt;0),"",IF(K393&amp;L393&amp;M393&lt;&gt;"","ERROR",IF(N393&amp;O393&amp;P393&lt;&gt;"","CHECK","OK")))</f>
        <v/>
      </c>
      <c r="J393" s="14" t="str">
        <f aca="false">TRIM(K393&amp;L393&amp;M393&amp;N393&amp;O393&amp;P393)</f>
        <v/>
      </c>
      <c r="K393" s="15" t="str">
        <f aca="true">IF(NOT(COUNTA($A393:$H393)&gt;0),"",IF(A393="","Missing date. ",IF(NOT(ISNUMBER(A393)),"Date is not a real date. ",IF(YEAR(A393)&lt;&gt;Settings!$B$4,"Date outside tax year. ",IF(A393&gt;TODAY(),"Date is in the future. ","")))))</f>
        <v/>
      </c>
      <c r="L393" s="15" t="str">
        <f aca="false">IF(NOT(COUNTA($A393:$H393)&gt;0),"",IF(E393="","Missing amount. ",IF(NOT(ISNUMBER(E393)),"Amount is not a number. ",IF(E393&lt;=0,"Amount must be above zero. ",""))))</f>
        <v/>
      </c>
      <c r="M393" s="15" t="str">
        <f aca="false">IF(NOT(COUNTA($A393:$H393)&gt;0),"",IF(D393="","Missing category. ",IF(COUNTIF(Settings!$B$11:$B$40,D393)=0,"Category not in your list. ","")))</f>
        <v/>
      </c>
      <c r="N393" s="15" t="str">
        <f aca="false">IF(AND(ISNUMBER(A393),ISNUMBER(E393),B393&lt;&gt;""),IF(COUNTIFS($A$6:$A$505,A393,$B$6:$B$505,B393,$E$6:$E$505,E393)&gt;1,"Possible duplicate. ",""),"")</f>
        <v/>
      </c>
      <c r="O393" s="15" t="str">
        <f aca="false">IF(AND(ISNUMBER(E393),E393&gt;=Settings!$B$6,G393&lt;&gt;"Yes"),"Receipt not marked as saved. ","")</f>
        <v/>
      </c>
      <c r="P393" s="15" t="str">
        <f aca="false">IF(AND(ISNUMBER(E393),E393&gt;=Settings!$B$5),"Large amount: review. ","")</f>
        <v/>
      </c>
    </row>
    <row r="394" customFormat="false" ht="15" hidden="false" customHeight="false" outlineLevel="0" collapsed="false">
      <c r="A394" s="10"/>
      <c r="B394" s="11"/>
      <c r="C394" s="11"/>
      <c r="D394" s="11"/>
      <c r="E394" s="12"/>
      <c r="F394" s="11"/>
      <c r="G394" s="11"/>
      <c r="H394" s="11"/>
      <c r="I394" s="13" t="str">
        <f aca="false">IF(NOT(COUNTA($A394:$H394)&gt;0),"",IF(K394&amp;L394&amp;M394&lt;&gt;"","ERROR",IF(N394&amp;O394&amp;P394&lt;&gt;"","CHECK","OK")))</f>
        <v/>
      </c>
      <c r="J394" s="14" t="str">
        <f aca="false">TRIM(K394&amp;L394&amp;M394&amp;N394&amp;O394&amp;P394)</f>
        <v/>
      </c>
      <c r="K394" s="15" t="str">
        <f aca="true">IF(NOT(COUNTA($A394:$H394)&gt;0),"",IF(A394="","Missing date. ",IF(NOT(ISNUMBER(A394)),"Date is not a real date. ",IF(YEAR(A394)&lt;&gt;Settings!$B$4,"Date outside tax year. ",IF(A394&gt;TODAY(),"Date is in the future. ","")))))</f>
        <v/>
      </c>
      <c r="L394" s="15" t="str">
        <f aca="false">IF(NOT(COUNTA($A394:$H394)&gt;0),"",IF(E394="","Missing amount. ",IF(NOT(ISNUMBER(E394)),"Amount is not a number. ",IF(E394&lt;=0,"Amount must be above zero. ",""))))</f>
        <v/>
      </c>
      <c r="M394" s="15" t="str">
        <f aca="false">IF(NOT(COUNTA($A394:$H394)&gt;0),"",IF(D394="","Missing category. ",IF(COUNTIF(Settings!$B$11:$B$40,D394)=0,"Category not in your list. ","")))</f>
        <v/>
      </c>
      <c r="N394" s="15" t="str">
        <f aca="false">IF(AND(ISNUMBER(A394),ISNUMBER(E394),B394&lt;&gt;""),IF(COUNTIFS($A$6:$A$505,A394,$B$6:$B$505,B394,$E$6:$E$505,E394)&gt;1,"Possible duplicate. ",""),"")</f>
        <v/>
      </c>
      <c r="O394" s="15" t="str">
        <f aca="false">IF(AND(ISNUMBER(E394),E394&gt;=Settings!$B$6,G394&lt;&gt;"Yes"),"Receipt not marked as saved. ","")</f>
        <v/>
      </c>
      <c r="P394" s="15" t="str">
        <f aca="false">IF(AND(ISNUMBER(E394),E394&gt;=Settings!$B$5),"Large amount: review. ","")</f>
        <v/>
      </c>
    </row>
    <row r="395" customFormat="false" ht="15" hidden="false" customHeight="false" outlineLevel="0" collapsed="false">
      <c r="A395" s="10"/>
      <c r="B395" s="11"/>
      <c r="C395" s="11"/>
      <c r="D395" s="11"/>
      <c r="E395" s="12"/>
      <c r="F395" s="11"/>
      <c r="G395" s="11"/>
      <c r="H395" s="11"/>
      <c r="I395" s="13" t="str">
        <f aca="false">IF(NOT(COUNTA($A395:$H395)&gt;0),"",IF(K395&amp;L395&amp;M395&lt;&gt;"","ERROR",IF(N395&amp;O395&amp;P395&lt;&gt;"","CHECK","OK")))</f>
        <v/>
      </c>
      <c r="J395" s="14" t="str">
        <f aca="false">TRIM(K395&amp;L395&amp;M395&amp;N395&amp;O395&amp;P395)</f>
        <v/>
      </c>
      <c r="K395" s="15" t="str">
        <f aca="true">IF(NOT(COUNTA($A395:$H395)&gt;0),"",IF(A395="","Missing date. ",IF(NOT(ISNUMBER(A395)),"Date is not a real date. ",IF(YEAR(A395)&lt;&gt;Settings!$B$4,"Date outside tax year. ",IF(A395&gt;TODAY(),"Date is in the future. ","")))))</f>
        <v/>
      </c>
      <c r="L395" s="15" t="str">
        <f aca="false">IF(NOT(COUNTA($A395:$H395)&gt;0),"",IF(E395="","Missing amount. ",IF(NOT(ISNUMBER(E395)),"Amount is not a number. ",IF(E395&lt;=0,"Amount must be above zero. ",""))))</f>
        <v/>
      </c>
      <c r="M395" s="15" t="str">
        <f aca="false">IF(NOT(COUNTA($A395:$H395)&gt;0),"",IF(D395="","Missing category. ",IF(COUNTIF(Settings!$B$11:$B$40,D395)=0,"Category not in your list. ","")))</f>
        <v/>
      </c>
      <c r="N395" s="15" t="str">
        <f aca="false">IF(AND(ISNUMBER(A395),ISNUMBER(E395),B395&lt;&gt;""),IF(COUNTIFS($A$6:$A$505,A395,$B$6:$B$505,B395,$E$6:$E$505,E395)&gt;1,"Possible duplicate. ",""),"")</f>
        <v/>
      </c>
      <c r="O395" s="15" t="str">
        <f aca="false">IF(AND(ISNUMBER(E395),E395&gt;=Settings!$B$6,G395&lt;&gt;"Yes"),"Receipt not marked as saved. ","")</f>
        <v/>
      </c>
      <c r="P395" s="15" t="str">
        <f aca="false">IF(AND(ISNUMBER(E395),E395&gt;=Settings!$B$5),"Large amount: review. ","")</f>
        <v/>
      </c>
    </row>
    <row r="396" customFormat="false" ht="15" hidden="false" customHeight="false" outlineLevel="0" collapsed="false">
      <c r="A396" s="10"/>
      <c r="B396" s="11"/>
      <c r="C396" s="11"/>
      <c r="D396" s="11"/>
      <c r="E396" s="12"/>
      <c r="F396" s="11"/>
      <c r="G396" s="11"/>
      <c r="H396" s="11"/>
      <c r="I396" s="13" t="str">
        <f aca="false">IF(NOT(COUNTA($A396:$H396)&gt;0),"",IF(K396&amp;L396&amp;M396&lt;&gt;"","ERROR",IF(N396&amp;O396&amp;P396&lt;&gt;"","CHECK","OK")))</f>
        <v/>
      </c>
      <c r="J396" s="14" t="str">
        <f aca="false">TRIM(K396&amp;L396&amp;M396&amp;N396&amp;O396&amp;P396)</f>
        <v/>
      </c>
      <c r="K396" s="15" t="str">
        <f aca="true">IF(NOT(COUNTA($A396:$H396)&gt;0),"",IF(A396="","Missing date. ",IF(NOT(ISNUMBER(A396)),"Date is not a real date. ",IF(YEAR(A396)&lt;&gt;Settings!$B$4,"Date outside tax year. ",IF(A396&gt;TODAY(),"Date is in the future. ","")))))</f>
        <v/>
      </c>
      <c r="L396" s="15" t="str">
        <f aca="false">IF(NOT(COUNTA($A396:$H396)&gt;0),"",IF(E396="","Missing amount. ",IF(NOT(ISNUMBER(E396)),"Amount is not a number. ",IF(E396&lt;=0,"Amount must be above zero. ",""))))</f>
        <v/>
      </c>
      <c r="M396" s="15" t="str">
        <f aca="false">IF(NOT(COUNTA($A396:$H396)&gt;0),"",IF(D396="","Missing category. ",IF(COUNTIF(Settings!$B$11:$B$40,D396)=0,"Category not in your list. ","")))</f>
        <v/>
      </c>
      <c r="N396" s="15" t="str">
        <f aca="false">IF(AND(ISNUMBER(A396),ISNUMBER(E396),B396&lt;&gt;""),IF(COUNTIFS($A$6:$A$505,A396,$B$6:$B$505,B396,$E$6:$E$505,E396)&gt;1,"Possible duplicate. ",""),"")</f>
        <v/>
      </c>
      <c r="O396" s="15" t="str">
        <f aca="false">IF(AND(ISNUMBER(E396),E396&gt;=Settings!$B$6,G396&lt;&gt;"Yes"),"Receipt not marked as saved. ","")</f>
        <v/>
      </c>
      <c r="P396" s="15" t="str">
        <f aca="false">IF(AND(ISNUMBER(E396),E396&gt;=Settings!$B$5),"Large amount: review. ","")</f>
        <v/>
      </c>
    </row>
    <row r="397" customFormat="false" ht="15" hidden="false" customHeight="false" outlineLevel="0" collapsed="false">
      <c r="A397" s="10"/>
      <c r="B397" s="11"/>
      <c r="C397" s="11"/>
      <c r="D397" s="11"/>
      <c r="E397" s="12"/>
      <c r="F397" s="11"/>
      <c r="G397" s="11"/>
      <c r="H397" s="11"/>
      <c r="I397" s="13" t="str">
        <f aca="false">IF(NOT(COUNTA($A397:$H397)&gt;0),"",IF(K397&amp;L397&amp;M397&lt;&gt;"","ERROR",IF(N397&amp;O397&amp;P397&lt;&gt;"","CHECK","OK")))</f>
        <v/>
      </c>
      <c r="J397" s="14" t="str">
        <f aca="false">TRIM(K397&amp;L397&amp;M397&amp;N397&amp;O397&amp;P397)</f>
        <v/>
      </c>
      <c r="K397" s="15" t="str">
        <f aca="true">IF(NOT(COUNTA($A397:$H397)&gt;0),"",IF(A397="","Missing date. ",IF(NOT(ISNUMBER(A397)),"Date is not a real date. ",IF(YEAR(A397)&lt;&gt;Settings!$B$4,"Date outside tax year. ",IF(A397&gt;TODAY(),"Date is in the future. ","")))))</f>
        <v/>
      </c>
      <c r="L397" s="15" t="str">
        <f aca="false">IF(NOT(COUNTA($A397:$H397)&gt;0),"",IF(E397="","Missing amount. ",IF(NOT(ISNUMBER(E397)),"Amount is not a number. ",IF(E397&lt;=0,"Amount must be above zero. ",""))))</f>
        <v/>
      </c>
      <c r="M397" s="15" t="str">
        <f aca="false">IF(NOT(COUNTA($A397:$H397)&gt;0),"",IF(D397="","Missing category. ",IF(COUNTIF(Settings!$B$11:$B$40,D397)=0,"Category not in your list. ","")))</f>
        <v/>
      </c>
      <c r="N397" s="15" t="str">
        <f aca="false">IF(AND(ISNUMBER(A397),ISNUMBER(E397),B397&lt;&gt;""),IF(COUNTIFS($A$6:$A$505,A397,$B$6:$B$505,B397,$E$6:$E$505,E397)&gt;1,"Possible duplicate. ",""),"")</f>
        <v/>
      </c>
      <c r="O397" s="15" t="str">
        <f aca="false">IF(AND(ISNUMBER(E397),E397&gt;=Settings!$B$6,G397&lt;&gt;"Yes"),"Receipt not marked as saved. ","")</f>
        <v/>
      </c>
      <c r="P397" s="15" t="str">
        <f aca="false">IF(AND(ISNUMBER(E397),E397&gt;=Settings!$B$5),"Large amount: review. ","")</f>
        <v/>
      </c>
    </row>
    <row r="398" customFormat="false" ht="15" hidden="false" customHeight="false" outlineLevel="0" collapsed="false">
      <c r="A398" s="10"/>
      <c r="B398" s="11"/>
      <c r="C398" s="11"/>
      <c r="D398" s="11"/>
      <c r="E398" s="12"/>
      <c r="F398" s="11"/>
      <c r="G398" s="11"/>
      <c r="H398" s="11"/>
      <c r="I398" s="13" t="str">
        <f aca="false">IF(NOT(COUNTA($A398:$H398)&gt;0),"",IF(K398&amp;L398&amp;M398&lt;&gt;"","ERROR",IF(N398&amp;O398&amp;P398&lt;&gt;"","CHECK","OK")))</f>
        <v/>
      </c>
      <c r="J398" s="14" t="str">
        <f aca="false">TRIM(K398&amp;L398&amp;M398&amp;N398&amp;O398&amp;P398)</f>
        <v/>
      </c>
      <c r="K398" s="15" t="str">
        <f aca="true">IF(NOT(COUNTA($A398:$H398)&gt;0),"",IF(A398="","Missing date. ",IF(NOT(ISNUMBER(A398)),"Date is not a real date. ",IF(YEAR(A398)&lt;&gt;Settings!$B$4,"Date outside tax year. ",IF(A398&gt;TODAY(),"Date is in the future. ","")))))</f>
        <v/>
      </c>
      <c r="L398" s="15" t="str">
        <f aca="false">IF(NOT(COUNTA($A398:$H398)&gt;0),"",IF(E398="","Missing amount. ",IF(NOT(ISNUMBER(E398)),"Amount is not a number. ",IF(E398&lt;=0,"Amount must be above zero. ",""))))</f>
        <v/>
      </c>
      <c r="M398" s="15" t="str">
        <f aca="false">IF(NOT(COUNTA($A398:$H398)&gt;0),"",IF(D398="","Missing category. ",IF(COUNTIF(Settings!$B$11:$B$40,D398)=0,"Category not in your list. ","")))</f>
        <v/>
      </c>
      <c r="N398" s="15" t="str">
        <f aca="false">IF(AND(ISNUMBER(A398),ISNUMBER(E398),B398&lt;&gt;""),IF(COUNTIFS($A$6:$A$505,A398,$B$6:$B$505,B398,$E$6:$E$505,E398)&gt;1,"Possible duplicate. ",""),"")</f>
        <v/>
      </c>
      <c r="O398" s="15" t="str">
        <f aca="false">IF(AND(ISNUMBER(E398),E398&gt;=Settings!$B$6,G398&lt;&gt;"Yes"),"Receipt not marked as saved. ","")</f>
        <v/>
      </c>
      <c r="P398" s="15" t="str">
        <f aca="false">IF(AND(ISNUMBER(E398),E398&gt;=Settings!$B$5),"Large amount: review. ","")</f>
        <v/>
      </c>
    </row>
    <row r="399" customFormat="false" ht="15" hidden="false" customHeight="false" outlineLevel="0" collapsed="false">
      <c r="A399" s="10"/>
      <c r="B399" s="11"/>
      <c r="C399" s="11"/>
      <c r="D399" s="11"/>
      <c r="E399" s="12"/>
      <c r="F399" s="11"/>
      <c r="G399" s="11"/>
      <c r="H399" s="11"/>
      <c r="I399" s="13" t="str">
        <f aca="false">IF(NOT(COUNTA($A399:$H399)&gt;0),"",IF(K399&amp;L399&amp;M399&lt;&gt;"","ERROR",IF(N399&amp;O399&amp;P399&lt;&gt;"","CHECK","OK")))</f>
        <v/>
      </c>
      <c r="J399" s="14" t="str">
        <f aca="false">TRIM(K399&amp;L399&amp;M399&amp;N399&amp;O399&amp;P399)</f>
        <v/>
      </c>
      <c r="K399" s="15" t="str">
        <f aca="true">IF(NOT(COUNTA($A399:$H399)&gt;0),"",IF(A399="","Missing date. ",IF(NOT(ISNUMBER(A399)),"Date is not a real date. ",IF(YEAR(A399)&lt;&gt;Settings!$B$4,"Date outside tax year. ",IF(A399&gt;TODAY(),"Date is in the future. ","")))))</f>
        <v/>
      </c>
      <c r="L399" s="15" t="str">
        <f aca="false">IF(NOT(COUNTA($A399:$H399)&gt;0),"",IF(E399="","Missing amount. ",IF(NOT(ISNUMBER(E399)),"Amount is not a number. ",IF(E399&lt;=0,"Amount must be above zero. ",""))))</f>
        <v/>
      </c>
      <c r="M399" s="15" t="str">
        <f aca="false">IF(NOT(COUNTA($A399:$H399)&gt;0),"",IF(D399="","Missing category. ",IF(COUNTIF(Settings!$B$11:$B$40,D399)=0,"Category not in your list. ","")))</f>
        <v/>
      </c>
      <c r="N399" s="15" t="str">
        <f aca="false">IF(AND(ISNUMBER(A399),ISNUMBER(E399),B399&lt;&gt;""),IF(COUNTIFS($A$6:$A$505,A399,$B$6:$B$505,B399,$E$6:$E$505,E399)&gt;1,"Possible duplicate. ",""),"")</f>
        <v/>
      </c>
      <c r="O399" s="15" t="str">
        <f aca="false">IF(AND(ISNUMBER(E399),E399&gt;=Settings!$B$6,G399&lt;&gt;"Yes"),"Receipt not marked as saved. ","")</f>
        <v/>
      </c>
      <c r="P399" s="15" t="str">
        <f aca="false">IF(AND(ISNUMBER(E399),E399&gt;=Settings!$B$5),"Large amount: review. ","")</f>
        <v/>
      </c>
    </row>
    <row r="400" customFormat="false" ht="15" hidden="false" customHeight="false" outlineLevel="0" collapsed="false">
      <c r="A400" s="10"/>
      <c r="B400" s="11"/>
      <c r="C400" s="11"/>
      <c r="D400" s="11"/>
      <c r="E400" s="12"/>
      <c r="F400" s="11"/>
      <c r="G400" s="11"/>
      <c r="H400" s="11"/>
      <c r="I400" s="13" t="str">
        <f aca="false">IF(NOT(COUNTA($A400:$H400)&gt;0),"",IF(K400&amp;L400&amp;M400&lt;&gt;"","ERROR",IF(N400&amp;O400&amp;P400&lt;&gt;"","CHECK","OK")))</f>
        <v/>
      </c>
      <c r="J400" s="14" t="str">
        <f aca="false">TRIM(K400&amp;L400&amp;M400&amp;N400&amp;O400&amp;P400)</f>
        <v/>
      </c>
      <c r="K400" s="15" t="str">
        <f aca="true">IF(NOT(COUNTA($A400:$H400)&gt;0),"",IF(A400="","Missing date. ",IF(NOT(ISNUMBER(A400)),"Date is not a real date. ",IF(YEAR(A400)&lt;&gt;Settings!$B$4,"Date outside tax year. ",IF(A400&gt;TODAY(),"Date is in the future. ","")))))</f>
        <v/>
      </c>
      <c r="L400" s="15" t="str">
        <f aca="false">IF(NOT(COUNTA($A400:$H400)&gt;0),"",IF(E400="","Missing amount. ",IF(NOT(ISNUMBER(E400)),"Amount is not a number. ",IF(E400&lt;=0,"Amount must be above zero. ",""))))</f>
        <v/>
      </c>
      <c r="M400" s="15" t="str">
        <f aca="false">IF(NOT(COUNTA($A400:$H400)&gt;0),"",IF(D400="","Missing category. ",IF(COUNTIF(Settings!$B$11:$B$40,D400)=0,"Category not in your list. ","")))</f>
        <v/>
      </c>
      <c r="N400" s="15" t="str">
        <f aca="false">IF(AND(ISNUMBER(A400),ISNUMBER(E400),B400&lt;&gt;""),IF(COUNTIFS($A$6:$A$505,A400,$B$6:$B$505,B400,$E$6:$E$505,E400)&gt;1,"Possible duplicate. ",""),"")</f>
        <v/>
      </c>
      <c r="O400" s="15" t="str">
        <f aca="false">IF(AND(ISNUMBER(E400),E400&gt;=Settings!$B$6,G400&lt;&gt;"Yes"),"Receipt not marked as saved. ","")</f>
        <v/>
      </c>
      <c r="P400" s="15" t="str">
        <f aca="false">IF(AND(ISNUMBER(E400),E400&gt;=Settings!$B$5),"Large amount: review. ","")</f>
        <v/>
      </c>
    </row>
    <row r="401" customFormat="false" ht="15" hidden="false" customHeight="false" outlineLevel="0" collapsed="false">
      <c r="A401" s="10"/>
      <c r="B401" s="11"/>
      <c r="C401" s="11"/>
      <c r="D401" s="11"/>
      <c r="E401" s="12"/>
      <c r="F401" s="11"/>
      <c r="G401" s="11"/>
      <c r="H401" s="11"/>
      <c r="I401" s="13" t="str">
        <f aca="false">IF(NOT(COUNTA($A401:$H401)&gt;0),"",IF(K401&amp;L401&amp;M401&lt;&gt;"","ERROR",IF(N401&amp;O401&amp;P401&lt;&gt;"","CHECK","OK")))</f>
        <v/>
      </c>
      <c r="J401" s="14" t="str">
        <f aca="false">TRIM(K401&amp;L401&amp;M401&amp;N401&amp;O401&amp;P401)</f>
        <v/>
      </c>
      <c r="K401" s="15" t="str">
        <f aca="true">IF(NOT(COUNTA($A401:$H401)&gt;0),"",IF(A401="","Missing date. ",IF(NOT(ISNUMBER(A401)),"Date is not a real date. ",IF(YEAR(A401)&lt;&gt;Settings!$B$4,"Date outside tax year. ",IF(A401&gt;TODAY(),"Date is in the future. ","")))))</f>
        <v/>
      </c>
      <c r="L401" s="15" t="str">
        <f aca="false">IF(NOT(COUNTA($A401:$H401)&gt;0),"",IF(E401="","Missing amount. ",IF(NOT(ISNUMBER(E401)),"Amount is not a number. ",IF(E401&lt;=0,"Amount must be above zero. ",""))))</f>
        <v/>
      </c>
      <c r="M401" s="15" t="str">
        <f aca="false">IF(NOT(COUNTA($A401:$H401)&gt;0),"",IF(D401="","Missing category. ",IF(COUNTIF(Settings!$B$11:$B$40,D401)=0,"Category not in your list. ","")))</f>
        <v/>
      </c>
      <c r="N401" s="15" t="str">
        <f aca="false">IF(AND(ISNUMBER(A401),ISNUMBER(E401),B401&lt;&gt;""),IF(COUNTIFS($A$6:$A$505,A401,$B$6:$B$505,B401,$E$6:$E$505,E401)&gt;1,"Possible duplicate. ",""),"")</f>
        <v/>
      </c>
      <c r="O401" s="15" t="str">
        <f aca="false">IF(AND(ISNUMBER(E401),E401&gt;=Settings!$B$6,G401&lt;&gt;"Yes"),"Receipt not marked as saved. ","")</f>
        <v/>
      </c>
      <c r="P401" s="15" t="str">
        <f aca="false">IF(AND(ISNUMBER(E401),E401&gt;=Settings!$B$5),"Large amount: review. ","")</f>
        <v/>
      </c>
    </row>
    <row r="402" customFormat="false" ht="15" hidden="false" customHeight="false" outlineLevel="0" collapsed="false">
      <c r="A402" s="10"/>
      <c r="B402" s="11"/>
      <c r="C402" s="11"/>
      <c r="D402" s="11"/>
      <c r="E402" s="12"/>
      <c r="F402" s="11"/>
      <c r="G402" s="11"/>
      <c r="H402" s="11"/>
      <c r="I402" s="13" t="str">
        <f aca="false">IF(NOT(COUNTA($A402:$H402)&gt;0),"",IF(K402&amp;L402&amp;M402&lt;&gt;"","ERROR",IF(N402&amp;O402&amp;P402&lt;&gt;"","CHECK","OK")))</f>
        <v/>
      </c>
      <c r="J402" s="14" t="str">
        <f aca="false">TRIM(K402&amp;L402&amp;M402&amp;N402&amp;O402&amp;P402)</f>
        <v/>
      </c>
      <c r="K402" s="15" t="str">
        <f aca="true">IF(NOT(COUNTA($A402:$H402)&gt;0),"",IF(A402="","Missing date. ",IF(NOT(ISNUMBER(A402)),"Date is not a real date. ",IF(YEAR(A402)&lt;&gt;Settings!$B$4,"Date outside tax year. ",IF(A402&gt;TODAY(),"Date is in the future. ","")))))</f>
        <v/>
      </c>
      <c r="L402" s="15" t="str">
        <f aca="false">IF(NOT(COUNTA($A402:$H402)&gt;0),"",IF(E402="","Missing amount. ",IF(NOT(ISNUMBER(E402)),"Amount is not a number. ",IF(E402&lt;=0,"Amount must be above zero. ",""))))</f>
        <v/>
      </c>
      <c r="M402" s="15" t="str">
        <f aca="false">IF(NOT(COUNTA($A402:$H402)&gt;0),"",IF(D402="","Missing category. ",IF(COUNTIF(Settings!$B$11:$B$40,D402)=0,"Category not in your list. ","")))</f>
        <v/>
      </c>
      <c r="N402" s="15" t="str">
        <f aca="false">IF(AND(ISNUMBER(A402),ISNUMBER(E402),B402&lt;&gt;""),IF(COUNTIFS($A$6:$A$505,A402,$B$6:$B$505,B402,$E$6:$E$505,E402)&gt;1,"Possible duplicate. ",""),"")</f>
        <v/>
      </c>
      <c r="O402" s="15" t="str">
        <f aca="false">IF(AND(ISNUMBER(E402),E402&gt;=Settings!$B$6,G402&lt;&gt;"Yes"),"Receipt not marked as saved. ","")</f>
        <v/>
      </c>
      <c r="P402" s="15" t="str">
        <f aca="false">IF(AND(ISNUMBER(E402),E402&gt;=Settings!$B$5),"Large amount: review. ","")</f>
        <v/>
      </c>
    </row>
    <row r="403" customFormat="false" ht="15" hidden="false" customHeight="false" outlineLevel="0" collapsed="false">
      <c r="A403" s="10"/>
      <c r="B403" s="11"/>
      <c r="C403" s="11"/>
      <c r="D403" s="11"/>
      <c r="E403" s="12"/>
      <c r="F403" s="11"/>
      <c r="G403" s="11"/>
      <c r="H403" s="11"/>
      <c r="I403" s="13" t="str">
        <f aca="false">IF(NOT(COUNTA($A403:$H403)&gt;0),"",IF(K403&amp;L403&amp;M403&lt;&gt;"","ERROR",IF(N403&amp;O403&amp;P403&lt;&gt;"","CHECK","OK")))</f>
        <v/>
      </c>
      <c r="J403" s="14" t="str">
        <f aca="false">TRIM(K403&amp;L403&amp;M403&amp;N403&amp;O403&amp;P403)</f>
        <v/>
      </c>
      <c r="K403" s="15" t="str">
        <f aca="true">IF(NOT(COUNTA($A403:$H403)&gt;0),"",IF(A403="","Missing date. ",IF(NOT(ISNUMBER(A403)),"Date is not a real date. ",IF(YEAR(A403)&lt;&gt;Settings!$B$4,"Date outside tax year. ",IF(A403&gt;TODAY(),"Date is in the future. ","")))))</f>
        <v/>
      </c>
      <c r="L403" s="15" t="str">
        <f aca="false">IF(NOT(COUNTA($A403:$H403)&gt;0),"",IF(E403="","Missing amount. ",IF(NOT(ISNUMBER(E403)),"Amount is not a number. ",IF(E403&lt;=0,"Amount must be above zero. ",""))))</f>
        <v/>
      </c>
      <c r="M403" s="15" t="str">
        <f aca="false">IF(NOT(COUNTA($A403:$H403)&gt;0),"",IF(D403="","Missing category. ",IF(COUNTIF(Settings!$B$11:$B$40,D403)=0,"Category not in your list. ","")))</f>
        <v/>
      </c>
      <c r="N403" s="15" t="str">
        <f aca="false">IF(AND(ISNUMBER(A403),ISNUMBER(E403),B403&lt;&gt;""),IF(COUNTIFS($A$6:$A$505,A403,$B$6:$B$505,B403,$E$6:$E$505,E403)&gt;1,"Possible duplicate. ",""),"")</f>
        <v/>
      </c>
      <c r="O403" s="15" t="str">
        <f aca="false">IF(AND(ISNUMBER(E403),E403&gt;=Settings!$B$6,G403&lt;&gt;"Yes"),"Receipt not marked as saved. ","")</f>
        <v/>
      </c>
      <c r="P403" s="15" t="str">
        <f aca="false">IF(AND(ISNUMBER(E403),E403&gt;=Settings!$B$5),"Large amount: review. ","")</f>
        <v/>
      </c>
    </row>
    <row r="404" customFormat="false" ht="15" hidden="false" customHeight="false" outlineLevel="0" collapsed="false">
      <c r="A404" s="10"/>
      <c r="B404" s="11"/>
      <c r="C404" s="11"/>
      <c r="D404" s="11"/>
      <c r="E404" s="12"/>
      <c r="F404" s="11"/>
      <c r="G404" s="11"/>
      <c r="H404" s="11"/>
      <c r="I404" s="13" t="str">
        <f aca="false">IF(NOT(COUNTA($A404:$H404)&gt;0),"",IF(K404&amp;L404&amp;M404&lt;&gt;"","ERROR",IF(N404&amp;O404&amp;P404&lt;&gt;"","CHECK","OK")))</f>
        <v/>
      </c>
      <c r="J404" s="14" t="str">
        <f aca="false">TRIM(K404&amp;L404&amp;M404&amp;N404&amp;O404&amp;P404)</f>
        <v/>
      </c>
      <c r="K404" s="15" t="str">
        <f aca="true">IF(NOT(COUNTA($A404:$H404)&gt;0),"",IF(A404="","Missing date. ",IF(NOT(ISNUMBER(A404)),"Date is not a real date. ",IF(YEAR(A404)&lt;&gt;Settings!$B$4,"Date outside tax year. ",IF(A404&gt;TODAY(),"Date is in the future. ","")))))</f>
        <v/>
      </c>
      <c r="L404" s="15" t="str">
        <f aca="false">IF(NOT(COUNTA($A404:$H404)&gt;0),"",IF(E404="","Missing amount. ",IF(NOT(ISNUMBER(E404)),"Amount is not a number. ",IF(E404&lt;=0,"Amount must be above zero. ",""))))</f>
        <v/>
      </c>
      <c r="M404" s="15" t="str">
        <f aca="false">IF(NOT(COUNTA($A404:$H404)&gt;0),"",IF(D404="","Missing category. ",IF(COUNTIF(Settings!$B$11:$B$40,D404)=0,"Category not in your list. ","")))</f>
        <v/>
      </c>
      <c r="N404" s="15" t="str">
        <f aca="false">IF(AND(ISNUMBER(A404),ISNUMBER(E404),B404&lt;&gt;""),IF(COUNTIFS($A$6:$A$505,A404,$B$6:$B$505,B404,$E$6:$E$505,E404)&gt;1,"Possible duplicate. ",""),"")</f>
        <v/>
      </c>
      <c r="O404" s="15" t="str">
        <f aca="false">IF(AND(ISNUMBER(E404),E404&gt;=Settings!$B$6,G404&lt;&gt;"Yes"),"Receipt not marked as saved. ","")</f>
        <v/>
      </c>
      <c r="P404" s="15" t="str">
        <f aca="false">IF(AND(ISNUMBER(E404),E404&gt;=Settings!$B$5),"Large amount: review. ","")</f>
        <v/>
      </c>
    </row>
    <row r="405" customFormat="false" ht="15" hidden="false" customHeight="false" outlineLevel="0" collapsed="false">
      <c r="A405" s="10"/>
      <c r="B405" s="11"/>
      <c r="C405" s="11"/>
      <c r="D405" s="11"/>
      <c r="E405" s="12"/>
      <c r="F405" s="11"/>
      <c r="G405" s="11"/>
      <c r="H405" s="11"/>
      <c r="I405" s="13" t="str">
        <f aca="false">IF(NOT(COUNTA($A405:$H405)&gt;0),"",IF(K405&amp;L405&amp;M405&lt;&gt;"","ERROR",IF(N405&amp;O405&amp;P405&lt;&gt;"","CHECK","OK")))</f>
        <v/>
      </c>
      <c r="J405" s="14" t="str">
        <f aca="false">TRIM(K405&amp;L405&amp;M405&amp;N405&amp;O405&amp;P405)</f>
        <v/>
      </c>
      <c r="K405" s="15" t="str">
        <f aca="true">IF(NOT(COUNTA($A405:$H405)&gt;0),"",IF(A405="","Missing date. ",IF(NOT(ISNUMBER(A405)),"Date is not a real date. ",IF(YEAR(A405)&lt;&gt;Settings!$B$4,"Date outside tax year. ",IF(A405&gt;TODAY(),"Date is in the future. ","")))))</f>
        <v/>
      </c>
      <c r="L405" s="15" t="str">
        <f aca="false">IF(NOT(COUNTA($A405:$H405)&gt;0),"",IF(E405="","Missing amount. ",IF(NOT(ISNUMBER(E405)),"Amount is not a number. ",IF(E405&lt;=0,"Amount must be above zero. ",""))))</f>
        <v/>
      </c>
      <c r="M405" s="15" t="str">
        <f aca="false">IF(NOT(COUNTA($A405:$H405)&gt;0),"",IF(D405="","Missing category. ",IF(COUNTIF(Settings!$B$11:$B$40,D405)=0,"Category not in your list. ","")))</f>
        <v/>
      </c>
      <c r="N405" s="15" t="str">
        <f aca="false">IF(AND(ISNUMBER(A405),ISNUMBER(E405),B405&lt;&gt;""),IF(COUNTIFS($A$6:$A$505,A405,$B$6:$B$505,B405,$E$6:$E$505,E405)&gt;1,"Possible duplicate. ",""),"")</f>
        <v/>
      </c>
      <c r="O405" s="15" t="str">
        <f aca="false">IF(AND(ISNUMBER(E405),E405&gt;=Settings!$B$6,G405&lt;&gt;"Yes"),"Receipt not marked as saved. ","")</f>
        <v/>
      </c>
      <c r="P405" s="15" t="str">
        <f aca="false">IF(AND(ISNUMBER(E405),E405&gt;=Settings!$B$5),"Large amount: review. ","")</f>
        <v/>
      </c>
    </row>
    <row r="406" customFormat="false" ht="15" hidden="false" customHeight="false" outlineLevel="0" collapsed="false">
      <c r="A406" s="10"/>
      <c r="B406" s="11"/>
      <c r="C406" s="11"/>
      <c r="D406" s="11"/>
      <c r="E406" s="12"/>
      <c r="F406" s="11"/>
      <c r="G406" s="11"/>
      <c r="H406" s="11"/>
      <c r="I406" s="13" t="str">
        <f aca="false">IF(NOT(COUNTA($A406:$H406)&gt;0),"",IF(K406&amp;L406&amp;M406&lt;&gt;"","ERROR",IF(N406&amp;O406&amp;P406&lt;&gt;"","CHECK","OK")))</f>
        <v/>
      </c>
      <c r="J406" s="14" t="str">
        <f aca="false">TRIM(K406&amp;L406&amp;M406&amp;N406&amp;O406&amp;P406)</f>
        <v/>
      </c>
      <c r="K406" s="15" t="str">
        <f aca="true">IF(NOT(COUNTA($A406:$H406)&gt;0),"",IF(A406="","Missing date. ",IF(NOT(ISNUMBER(A406)),"Date is not a real date. ",IF(YEAR(A406)&lt;&gt;Settings!$B$4,"Date outside tax year. ",IF(A406&gt;TODAY(),"Date is in the future. ","")))))</f>
        <v/>
      </c>
      <c r="L406" s="15" t="str">
        <f aca="false">IF(NOT(COUNTA($A406:$H406)&gt;0),"",IF(E406="","Missing amount. ",IF(NOT(ISNUMBER(E406)),"Amount is not a number. ",IF(E406&lt;=0,"Amount must be above zero. ",""))))</f>
        <v/>
      </c>
      <c r="M406" s="15" t="str">
        <f aca="false">IF(NOT(COUNTA($A406:$H406)&gt;0),"",IF(D406="","Missing category. ",IF(COUNTIF(Settings!$B$11:$B$40,D406)=0,"Category not in your list. ","")))</f>
        <v/>
      </c>
      <c r="N406" s="15" t="str">
        <f aca="false">IF(AND(ISNUMBER(A406),ISNUMBER(E406),B406&lt;&gt;""),IF(COUNTIFS($A$6:$A$505,A406,$B$6:$B$505,B406,$E$6:$E$505,E406)&gt;1,"Possible duplicate. ",""),"")</f>
        <v/>
      </c>
      <c r="O406" s="15" t="str">
        <f aca="false">IF(AND(ISNUMBER(E406),E406&gt;=Settings!$B$6,G406&lt;&gt;"Yes"),"Receipt not marked as saved. ","")</f>
        <v/>
      </c>
      <c r="P406" s="15" t="str">
        <f aca="false">IF(AND(ISNUMBER(E406),E406&gt;=Settings!$B$5),"Large amount: review. ","")</f>
        <v/>
      </c>
    </row>
    <row r="407" customFormat="false" ht="15" hidden="false" customHeight="false" outlineLevel="0" collapsed="false">
      <c r="A407" s="10"/>
      <c r="B407" s="11"/>
      <c r="C407" s="11"/>
      <c r="D407" s="11"/>
      <c r="E407" s="12"/>
      <c r="F407" s="11"/>
      <c r="G407" s="11"/>
      <c r="H407" s="11"/>
      <c r="I407" s="13" t="str">
        <f aca="false">IF(NOT(COUNTA($A407:$H407)&gt;0),"",IF(K407&amp;L407&amp;M407&lt;&gt;"","ERROR",IF(N407&amp;O407&amp;P407&lt;&gt;"","CHECK","OK")))</f>
        <v/>
      </c>
      <c r="J407" s="14" t="str">
        <f aca="false">TRIM(K407&amp;L407&amp;M407&amp;N407&amp;O407&amp;P407)</f>
        <v/>
      </c>
      <c r="K407" s="15" t="str">
        <f aca="true">IF(NOT(COUNTA($A407:$H407)&gt;0),"",IF(A407="","Missing date. ",IF(NOT(ISNUMBER(A407)),"Date is not a real date. ",IF(YEAR(A407)&lt;&gt;Settings!$B$4,"Date outside tax year. ",IF(A407&gt;TODAY(),"Date is in the future. ","")))))</f>
        <v/>
      </c>
      <c r="L407" s="15" t="str">
        <f aca="false">IF(NOT(COUNTA($A407:$H407)&gt;0),"",IF(E407="","Missing amount. ",IF(NOT(ISNUMBER(E407)),"Amount is not a number. ",IF(E407&lt;=0,"Amount must be above zero. ",""))))</f>
        <v/>
      </c>
      <c r="M407" s="15" t="str">
        <f aca="false">IF(NOT(COUNTA($A407:$H407)&gt;0),"",IF(D407="","Missing category. ",IF(COUNTIF(Settings!$B$11:$B$40,D407)=0,"Category not in your list. ","")))</f>
        <v/>
      </c>
      <c r="N407" s="15" t="str">
        <f aca="false">IF(AND(ISNUMBER(A407),ISNUMBER(E407),B407&lt;&gt;""),IF(COUNTIFS($A$6:$A$505,A407,$B$6:$B$505,B407,$E$6:$E$505,E407)&gt;1,"Possible duplicate. ",""),"")</f>
        <v/>
      </c>
      <c r="O407" s="15" t="str">
        <f aca="false">IF(AND(ISNUMBER(E407),E407&gt;=Settings!$B$6,G407&lt;&gt;"Yes"),"Receipt not marked as saved. ","")</f>
        <v/>
      </c>
      <c r="P407" s="15" t="str">
        <f aca="false">IF(AND(ISNUMBER(E407),E407&gt;=Settings!$B$5),"Large amount: review. ","")</f>
        <v/>
      </c>
    </row>
    <row r="408" customFormat="false" ht="15" hidden="false" customHeight="false" outlineLevel="0" collapsed="false">
      <c r="A408" s="10"/>
      <c r="B408" s="11"/>
      <c r="C408" s="11"/>
      <c r="D408" s="11"/>
      <c r="E408" s="12"/>
      <c r="F408" s="11"/>
      <c r="G408" s="11"/>
      <c r="H408" s="11"/>
      <c r="I408" s="13" t="str">
        <f aca="false">IF(NOT(COUNTA($A408:$H408)&gt;0),"",IF(K408&amp;L408&amp;M408&lt;&gt;"","ERROR",IF(N408&amp;O408&amp;P408&lt;&gt;"","CHECK","OK")))</f>
        <v/>
      </c>
      <c r="J408" s="14" t="str">
        <f aca="false">TRIM(K408&amp;L408&amp;M408&amp;N408&amp;O408&amp;P408)</f>
        <v/>
      </c>
      <c r="K408" s="15" t="str">
        <f aca="true">IF(NOT(COUNTA($A408:$H408)&gt;0),"",IF(A408="","Missing date. ",IF(NOT(ISNUMBER(A408)),"Date is not a real date. ",IF(YEAR(A408)&lt;&gt;Settings!$B$4,"Date outside tax year. ",IF(A408&gt;TODAY(),"Date is in the future. ","")))))</f>
        <v/>
      </c>
      <c r="L408" s="15" t="str">
        <f aca="false">IF(NOT(COUNTA($A408:$H408)&gt;0),"",IF(E408="","Missing amount. ",IF(NOT(ISNUMBER(E408)),"Amount is not a number. ",IF(E408&lt;=0,"Amount must be above zero. ",""))))</f>
        <v/>
      </c>
      <c r="M408" s="15" t="str">
        <f aca="false">IF(NOT(COUNTA($A408:$H408)&gt;0),"",IF(D408="","Missing category. ",IF(COUNTIF(Settings!$B$11:$B$40,D408)=0,"Category not in your list. ","")))</f>
        <v/>
      </c>
      <c r="N408" s="15" t="str">
        <f aca="false">IF(AND(ISNUMBER(A408),ISNUMBER(E408),B408&lt;&gt;""),IF(COUNTIFS($A$6:$A$505,A408,$B$6:$B$505,B408,$E$6:$E$505,E408)&gt;1,"Possible duplicate. ",""),"")</f>
        <v/>
      </c>
      <c r="O408" s="15" t="str">
        <f aca="false">IF(AND(ISNUMBER(E408),E408&gt;=Settings!$B$6,G408&lt;&gt;"Yes"),"Receipt not marked as saved. ","")</f>
        <v/>
      </c>
      <c r="P408" s="15" t="str">
        <f aca="false">IF(AND(ISNUMBER(E408),E408&gt;=Settings!$B$5),"Large amount: review. ","")</f>
        <v/>
      </c>
    </row>
    <row r="409" customFormat="false" ht="15" hidden="false" customHeight="false" outlineLevel="0" collapsed="false">
      <c r="A409" s="10"/>
      <c r="B409" s="11"/>
      <c r="C409" s="11"/>
      <c r="D409" s="11"/>
      <c r="E409" s="12"/>
      <c r="F409" s="11"/>
      <c r="G409" s="11"/>
      <c r="H409" s="11"/>
      <c r="I409" s="13" t="str">
        <f aca="false">IF(NOT(COUNTA($A409:$H409)&gt;0),"",IF(K409&amp;L409&amp;M409&lt;&gt;"","ERROR",IF(N409&amp;O409&amp;P409&lt;&gt;"","CHECK","OK")))</f>
        <v/>
      </c>
      <c r="J409" s="14" t="str">
        <f aca="false">TRIM(K409&amp;L409&amp;M409&amp;N409&amp;O409&amp;P409)</f>
        <v/>
      </c>
      <c r="K409" s="15" t="str">
        <f aca="true">IF(NOT(COUNTA($A409:$H409)&gt;0),"",IF(A409="","Missing date. ",IF(NOT(ISNUMBER(A409)),"Date is not a real date. ",IF(YEAR(A409)&lt;&gt;Settings!$B$4,"Date outside tax year. ",IF(A409&gt;TODAY(),"Date is in the future. ","")))))</f>
        <v/>
      </c>
      <c r="L409" s="15" t="str">
        <f aca="false">IF(NOT(COUNTA($A409:$H409)&gt;0),"",IF(E409="","Missing amount. ",IF(NOT(ISNUMBER(E409)),"Amount is not a number. ",IF(E409&lt;=0,"Amount must be above zero. ",""))))</f>
        <v/>
      </c>
      <c r="M409" s="15" t="str">
        <f aca="false">IF(NOT(COUNTA($A409:$H409)&gt;0),"",IF(D409="","Missing category. ",IF(COUNTIF(Settings!$B$11:$B$40,D409)=0,"Category not in your list. ","")))</f>
        <v/>
      </c>
      <c r="N409" s="15" t="str">
        <f aca="false">IF(AND(ISNUMBER(A409),ISNUMBER(E409),B409&lt;&gt;""),IF(COUNTIFS($A$6:$A$505,A409,$B$6:$B$505,B409,$E$6:$E$505,E409)&gt;1,"Possible duplicate. ",""),"")</f>
        <v/>
      </c>
      <c r="O409" s="15" t="str">
        <f aca="false">IF(AND(ISNUMBER(E409),E409&gt;=Settings!$B$6,G409&lt;&gt;"Yes"),"Receipt not marked as saved. ","")</f>
        <v/>
      </c>
      <c r="P409" s="15" t="str">
        <f aca="false">IF(AND(ISNUMBER(E409),E409&gt;=Settings!$B$5),"Large amount: review. ","")</f>
        <v/>
      </c>
    </row>
    <row r="410" customFormat="false" ht="15" hidden="false" customHeight="false" outlineLevel="0" collapsed="false">
      <c r="A410" s="10"/>
      <c r="B410" s="11"/>
      <c r="C410" s="11"/>
      <c r="D410" s="11"/>
      <c r="E410" s="12"/>
      <c r="F410" s="11"/>
      <c r="G410" s="11"/>
      <c r="H410" s="11"/>
      <c r="I410" s="13" t="str">
        <f aca="false">IF(NOT(COUNTA($A410:$H410)&gt;0),"",IF(K410&amp;L410&amp;M410&lt;&gt;"","ERROR",IF(N410&amp;O410&amp;P410&lt;&gt;"","CHECK","OK")))</f>
        <v/>
      </c>
      <c r="J410" s="14" t="str">
        <f aca="false">TRIM(K410&amp;L410&amp;M410&amp;N410&amp;O410&amp;P410)</f>
        <v/>
      </c>
      <c r="K410" s="15" t="str">
        <f aca="true">IF(NOT(COUNTA($A410:$H410)&gt;0),"",IF(A410="","Missing date. ",IF(NOT(ISNUMBER(A410)),"Date is not a real date. ",IF(YEAR(A410)&lt;&gt;Settings!$B$4,"Date outside tax year. ",IF(A410&gt;TODAY(),"Date is in the future. ","")))))</f>
        <v/>
      </c>
      <c r="L410" s="15" t="str">
        <f aca="false">IF(NOT(COUNTA($A410:$H410)&gt;0),"",IF(E410="","Missing amount. ",IF(NOT(ISNUMBER(E410)),"Amount is not a number. ",IF(E410&lt;=0,"Amount must be above zero. ",""))))</f>
        <v/>
      </c>
      <c r="M410" s="15" t="str">
        <f aca="false">IF(NOT(COUNTA($A410:$H410)&gt;0),"",IF(D410="","Missing category. ",IF(COUNTIF(Settings!$B$11:$B$40,D410)=0,"Category not in your list. ","")))</f>
        <v/>
      </c>
      <c r="N410" s="15" t="str">
        <f aca="false">IF(AND(ISNUMBER(A410),ISNUMBER(E410),B410&lt;&gt;""),IF(COUNTIFS($A$6:$A$505,A410,$B$6:$B$505,B410,$E$6:$E$505,E410)&gt;1,"Possible duplicate. ",""),"")</f>
        <v/>
      </c>
      <c r="O410" s="15" t="str">
        <f aca="false">IF(AND(ISNUMBER(E410),E410&gt;=Settings!$B$6,G410&lt;&gt;"Yes"),"Receipt not marked as saved. ","")</f>
        <v/>
      </c>
      <c r="P410" s="15" t="str">
        <f aca="false">IF(AND(ISNUMBER(E410),E410&gt;=Settings!$B$5),"Large amount: review. ","")</f>
        <v/>
      </c>
    </row>
    <row r="411" customFormat="false" ht="15" hidden="false" customHeight="false" outlineLevel="0" collapsed="false">
      <c r="A411" s="10"/>
      <c r="B411" s="11"/>
      <c r="C411" s="11"/>
      <c r="D411" s="11"/>
      <c r="E411" s="12"/>
      <c r="F411" s="11"/>
      <c r="G411" s="11"/>
      <c r="H411" s="11"/>
      <c r="I411" s="13" t="str">
        <f aca="false">IF(NOT(COUNTA($A411:$H411)&gt;0),"",IF(K411&amp;L411&amp;M411&lt;&gt;"","ERROR",IF(N411&amp;O411&amp;P411&lt;&gt;"","CHECK","OK")))</f>
        <v/>
      </c>
      <c r="J411" s="14" t="str">
        <f aca="false">TRIM(K411&amp;L411&amp;M411&amp;N411&amp;O411&amp;P411)</f>
        <v/>
      </c>
      <c r="K411" s="15" t="str">
        <f aca="true">IF(NOT(COUNTA($A411:$H411)&gt;0),"",IF(A411="","Missing date. ",IF(NOT(ISNUMBER(A411)),"Date is not a real date. ",IF(YEAR(A411)&lt;&gt;Settings!$B$4,"Date outside tax year. ",IF(A411&gt;TODAY(),"Date is in the future. ","")))))</f>
        <v/>
      </c>
      <c r="L411" s="15" t="str">
        <f aca="false">IF(NOT(COUNTA($A411:$H411)&gt;0),"",IF(E411="","Missing amount. ",IF(NOT(ISNUMBER(E411)),"Amount is not a number. ",IF(E411&lt;=0,"Amount must be above zero. ",""))))</f>
        <v/>
      </c>
      <c r="M411" s="15" t="str">
        <f aca="false">IF(NOT(COUNTA($A411:$H411)&gt;0),"",IF(D411="","Missing category. ",IF(COUNTIF(Settings!$B$11:$B$40,D411)=0,"Category not in your list. ","")))</f>
        <v/>
      </c>
      <c r="N411" s="15" t="str">
        <f aca="false">IF(AND(ISNUMBER(A411),ISNUMBER(E411),B411&lt;&gt;""),IF(COUNTIFS($A$6:$A$505,A411,$B$6:$B$505,B411,$E$6:$E$505,E411)&gt;1,"Possible duplicate. ",""),"")</f>
        <v/>
      </c>
      <c r="O411" s="15" t="str">
        <f aca="false">IF(AND(ISNUMBER(E411),E411&gt;=Settings!$B$6,G411&lt;&gt;"Yes"),"Receipt not marked as saved. ","")</f>
        <v/>
      </c>
      <c r="P411" s="15" t="str">
        <f aca="false">IF(AND(ISNUMBER(E411),E411&gt;=Settings!$B$5),"Large amount: review. ","")</f>
        <v/>
      </c>
    </row>
    <row r="412" customFormat="false" ht="15" hidden="false" customHeight="false" outlineLevel="0" collapsed="false">
      <c r="A412" s="10"/>
      <c r="B412" s="11"/>
      <c r="C412" s="11"/>
      <c r="D412" s="11"/>
      <c r="E412" s="12"/>
      <c r="F412" s="11"/>
      <c r="G412" s="11"/>
      <c r="H412" s="11"/>
      <c r="I412" s="13" t="str">
        <f aca="false">IF(NOT(COUNTA($A412:$H412)&gt;0),"",IF(K412&amp;L412&amp;M412&lt;&gt;"","ERROR",IF(N412&amp;O412&amp;P412&lt;&gt;"","CHECK","OK")))</f>
        <v/>
      </c>
      <c r="J412" s="14" t="str">
        <f aca="false">TRIM(K412&amp;L412&amp;M412&amp;N412&amp;O412&amp;P412)</f>
        <v/>
      </c>
      <c r="K412" s="15" t="str">
        <f aca="true">IF(NOT(COUNTA($A412:$H412)&gt;0),"",IF(A412="","Missing date. ",IF(NOT(ISNUMBER(A412)),"Date is not a real date. ",IF(YEAR(A412)&lt;&gt;Settings!$B$4,"Date outside tax year. ",IF(A412&gt;TODAY(),"Date is in the future. ","")))))</f>
        <v/>
      </c>
      <c r="L412" s="15" t="str">
        <f aca="false">IF(NOT(COUNTA($A412:$H412)&gt;0),"",IF(E412="","Missing amount. ",IF(NOT(ISNUMBER(E412)),"Amount is not a number. ",IF(E412&lt;=0,"Amount must be above zero. ",""))))</f>
        <v/>
      </c>
      <c r="M412" s="15" t="str">
        <f aca="false">IF(NOT(COUNTA($A412:$H412)&gt;0),"",IF(D412="","Missing category. ",IF(COUNTIF(Settings!$B$11:$B$40,D412)=0,"Category not in your list. ","")))</f>
        <v/>
      </c>
      <c r="N412" s="15" t="str">
        <f aca="false">IF(AND(ISNUMBER(A412),ISNUMBER(E412),B412&lt;&gt;""),IF(COUNTIFS($A$6:$A$505,A412,$B$6:$B$505,B412,$E$6:$E$505,E412)&gt;1,"Possible duplicate. ",""),"")</f>
        <v/>
      </c>
      <c r="O412" s="15" t="str">
        <f aca="false">IF(AND(ISNUMBER(E412),E412&gt;=Settings!$B$6,G412&lt;&gt;"Yes"),"Receipt not marked as saved. ","")</f>
        <v/>
      </c>
      <c r="P412" s="15" t="str">
        <f aca="false">IF(AND(ISNUMBER(E412),E412&gt;=Settings!$B$5),"Large amount: review. ","")</f>
        <v/>
      </c>
    </row>
    <row r="413" customFormat="false" ht="15" hidden="false" customHeight="false" outlineLevel="0" collapsed="false">
      <c r="A413" s="10"/>
      <c r="B413" s="11"/>
      <c r="C413" s="11"/>
      <c r="D413" s="11"/>
      <c r="E413" s="12"/>
      <c r="F413" s="11"/>
      <c r="G413" s="11"/>
      <c r="H413" s="11"/>
      <c r="I413" s="13" t="str">
        <f aca="false">IF(NOT(COUNTA($A413:$H413)&gt;0),"",IF(K413&amp;L413&amp;M413&lt;&gt;"","ERROR",IF(N413&amp;O413&amp;P413&lt;&gt;"","CHECK","OK")))</f>
        <v/>
      </c>
      <c r="J413" s="14" t="str">
        <f aca="false">TRIM(K413&amp;L413&amp;M413&amp;N413&amp;O413&amp;P413)</f>
        <v/>
      </c>
      <c r="K413" s="15" t="str">
        <f aca="true">IF(NOT(COUNTA($A413:$H413)&gt;0),"",IF(A413="","Missing date. ",IF(NOT(ISNUMBER(A413)),"Date is not a real date. ",IF(YEAR(A413)&lt;&gt;Settings!$B$4,"Date outside tax year. ",IF(A413&gt;TODAY(),"Date is in the future. ","")))))</f>
        <v/>
      </c>
      <c r="L413" s="15" t="str">
        <f aca="false">IF(NOT(COUNTA($A413:$H413)&gt;0),"",IF(E413="","Missing amount. ",IF(NOT(ISNUMBER(E413)),"Amount is not a number. ",IF(E413&lt;=0,"Amount must be above zero. ",""))))</f>
        <v/>
      </c>
      <c r="M413" s="15" t="str">
        <f aca="false">IF(NOT(COUNTA($A413:$H413)&gt;0),"",IF(D413="","Missing category. ",IF(COUNTIF(Settings!$B$11:$B$40,D413)=0,"Category not in your list. ","")))</f>
        <v/>
      </c>
      <c r="N413" s="15" t="str">
        <f aca="false">IF(AND(ISNUMBER(A413),ISNUMBER(E413),B413&lt;&gt;""),IF(COUNTIFS($A$6:$A$505,A413,$B$6:$B$505,B413,$E$6:$E$505,E413)&gt;1,"Possible duplicate. ",""),"")</f>
        <v/>
      </c>
      <c r="O413" s="15" t="str">
        <f aca="false">IF(AND(ISNUMBER(E413),E413&gt;=Settings!$B$6,G413&lt;&gt;"Yes"),"Receipt not marked as saved. ","")</f>
        <v/>
      </c>
      <c r="P413" s="15" t="str">
        <f aca="false">IF(AND(ISNUMBER(E413),E413&gt;=Settings!$B$5),"Large amount: review. ","")</f>
        <v/>
      </c>
    </row>
    <row r="414" customFormat="false" ht="15" hidden="false" customHeight="false" outlineLevel="0" collapsed="false">
      <c r="A414" s="10"/>
      <c r="B414" s="11"/>
      <c r="C414" s="11"/>
      <c r="D414" s="11"/>
      <c r="E414" s="12"/>
      <c r="F414" s="11"/>
      <c r="G414" s="11"/>
      <c r="H414" s="11"/>
      <c r="I414" s="13" t="str">
        <f aca="false">IF(NOT(COUNTA($A414:$H414)&gt;0),"",IF(K414&amp;L414&amp;M414&lt;&gt;"","ERROR",IF(N414&amp;O414&amp;P414&lt;&gt;"","CHECK","OK")))</f>
        <v/>
      </c>
      <c r="J414" s="14" t="str">
        <f aca="false">TRIM(K414&amp;L414&amp;M414&amp;N414&amp;O414&amp;P414)</f>
        <v/>
      </c>
      <c r="K414" s="15" t="str">
        <f aca="true">IF(NOT(COUNTA($A414:$H414)&gt;0),"",IF(A414="","Missing date. ",IF(NOT(ISNUMBER(A414)),"Date is not a real date. ",IF(YEAR(A414)&lt;&gt;Settings!$B$4,"Date outside tax year. ",IF(A414&gt;TODAY(),"Date is in the future. ","")))))</f>
        <v/>
      </c>
      <c r="L414" s="15" t="str">
        <f aca="false">IF(NOT(COUNTA($A414:$H414)&gt;0),"",IF(E414="","Missing amount. ",IF(NOT(ISNUMBER(E414)),"Amount is not a number. ",IF(E414&lt;=0,"Amount must be above zero. ",""))))</f>
        <v/>
      </c>
      <c r="M414" s="15" t="str">
        <f aca="false">IF(NOT(COUNTA($A414:$H414)&gt;0),"",IF(D414="","Missing category. ",IF(COUNTIF(Settings!$B$11:$B$40,D414)=0,"Category not in your list. ","")))</f>
        <v/>
      </c>
      <c r="N414" s="15" t="str">
        <f aca="false">IF(AND(ISNUMBER(A414),ISNUMBER(E414),B414&lt;&gt;""),IF(COUNTIFS($A$6:$A$505,A414,$B$6:$B$505,B414,$E$6:$E$505,E414)&gt;1,"Possible duplicate. ",""),"")</f>
        <v/>
      </c>
      <c r="O414" s="15" t="str">
        <f aca="false">IF(AND(ISNUMBER(E414),E414&gt;=Settings!$B$6,G414&lt;&gt;"Yes"),"Receipt not marked as saved. ","")</f>
        <v/>
      </c>
      <c r="P414" s="15" t="str">
        <f aca="false">IF(AND(ISNUMBER(E414),E414&gt;=Settings!$B$5),"Large amount: review. ","")</f>
        <v/>
      </c>
    </row>
    <row r="415" customFormat="false" ht="15" hidden="false" customHeight="false" outlineLevel="0" collapsed="false">
      <c r="A415" s="10"/>
      <c r="B415" s="11"/>
      <c r="C415" s="11"/>
      <c r="D415" s="11"/>
      <c r="E415" s="12"/>
      <c r="F415" s="11"/>
      <c r="G415" s="11"/>
      <c r="H415" s="11"/>
      <c r="I415" s="13" t="str">
        <f aca="false">IF(NOT(COUNTA($A415:$H415)&gt;0),"",IF(K415&amp;L415&amp;M415&lt;&gt;"","ERROR",IF(N415&amp;O415&amp;P415&lt;&gt;"","CHECK","OK")))</f>
        <v/>
      </c>
      <c r="J415" s="14" t="str">
        <f aca="false">TRIM(K415&amp;L415&amp;M415&amp;N415&amp;O415&amp;P415)</f>
        <v/>
      </c>
      <c r="K415" s="15" t="str">
        <f aca="true">IF(NOT(COUNTA($A415:$H415)&gt;0),"",IF(A415="","Missing date. ",IF(NOT(ISNUMBER(A415)),"Date is not a real date. ",IF(YEAR(A415)&lt;&gt;Settings!$B$4,"Date outside tax year. ",IF(A415&gt;TODAY(),"Date is in the future. ","")))))</f>
        <v/>
      </c>
      <c r="L415" s="15" t="str">
        <f aca="false">IF(NOT(COUNTA($A415:$H415)&gt;0),"",IF(E415="","Missing amount. ",IF(NOT(ISNUMBER(E415)),"Amount is not a number. ",IF(E415&lt;=0,"Amount must be above zero. ",""))))</f>
        <v/>
      </c>
      <c r="M415" s="15" t="str">
        <f aca="false">IF(NOT(COUNTA($A415:$H415)&gt;0),"",IF(D415="","Missing category. ",IF(COUNTIF(Settings!$B$11:$B$40,D415)=0,"Category not in your list. ","")))</f>
        <v/>
      </c>
      <c r="N415" s="15" t="str">
        <f aca="false">IF(AND(ISNUMBER(A415),ISNUMBER(E415),B415&lt;&gt;""),IF(COUNTIFS($A$6:$A$505,A415,$B$6:$B$505,B415,$E$6:$E$505,E415)&gt;1,"Possible duplicate. ",""),"")</f>
        <v/>
      </c>
      <c r="O415" s="15" t="str">
        <f aca="false">IF(AND(ISNUMBER(E415),E415&gt;=Settings!$B$6,G415&lt;&gt;"Yes"),"Receipt not marked as saved. ","")</f>
        <v/>
      </c>
      <c r="P415" s="15" t="str">
        <f aca="false">IF(AND(ISNUMBER(E415),E415&gt;=Settings!$B$5),"Large amount: review. ","")</f>
        <v/>
      </c>
    </row>
    <row r="416" customFormat="false" ht="15" hidden="false" customHeight="false" outlineLevel="0" collapsed="false">
      <c r="A416" s="10"/>
      <c r="B416" s="11"/>
      <c r="C416" s="11"/>
      <c r="D416" s="11"/>
      <c r="E416" s="12"/>
      <c r="F416" s="11"/>
      <c r="G416" s="11"/>
      <c r="H416" s="11"/>
      <c r="I416" s="13" t="str">
        <f aca="false">IF(NOT(COUNTA($A416:$H416)&gt;0),"",IF(K416&amp;L416&amp;M416&lt;&gt;"","ERROR",IF(N416&amp;O416&amp;P416&lt;&gt;"","CHECK","OK")))</f>
        <v/>
      </c>
      <c r="J416" s="14" t="str">
        <f aca="false">TRIM(K416&amp;L416&amp;M416&amp;N416&amp;O416&amp;P416)</f>
        <v/>
      </c>
      <c r="K416" s="15" t="str">
        <f aca="true">IF(NOT(COUNTA($A416:$H416)&gt;0),"",IF(A416="","Missing date. ",IF(NOT(ISNUMBER(A416)),"Date is not a real date. ",IF(YEAR(A416)&lt;&gt;Settings!$B$4,"Date outside tax year. ",IF(A416&gt;TODAY(),"Date is in the future. ","")))))</f>
        <v/>
      </c>
      <c r="L416" s="15" t="str">
        <f aca="false">IF(NOT(COUNTA($A416:$H416)&gt;0),"",IF(E416="","Missing amount. ",IF(NOT(ISNUMBER(E416)),"Amount is not a number. ",IF(E416&lt;=0,"Amount must be above zero. ",""))))</f>
        <v/>
      </c>
      <c r="M416" s="15" t="str">
        <f aca="false">IF(NOT(COUNTA($A416:$H416)&gt;0),"",IF(D416="","Missing category. ",IF(COUNTIF(Settings!$B$11:$B$40,D416)=0,"Category not in your list. ","")))</f>
        <v/>
      </c>
      <c r="N416" s="15" t="str">
        <f aca="false">IF(AND(ISNUMBER(A416),ISNUMBER(E416),B416&lt;&gt;""),IF(COUNTIFS($A$6:$A$505,A416,$B$6:$B$505,B416,$E$6:$E$505,E416)&gt;1,"Possible duplicate. ",""),"")</f>
        <v/>
      </c>
      <c r="O416" s="15" t="str">
        <f aca="false">IF(AND(ISNUMBER(E416),E416&gt;=Settings!$B$6,G416&lt;&gt;"Yes"),"Receipt not marked as saved. ","")</f>
        <v/>
      </c>
      <c r="P416" s="15" t="str">
        <f aca="false">IF(AND(ISNUMBER(E416),E416&gt;=Settings!$B$5),"Large amount: review. ","")</f>
        <v/>
      </c>
    </row>
    <row r="417" customFormat="false" ht="15" hidden="false" customHeight="false" outlineLevel="0" collapsed="false">
      <c r="A417" s="10"/>
      <c r="B417" s="11"/>
      <c r="C417" s="11"/>
      <c r="D417" s="11"/>
      <c r="E417" s="12"/>
      <c r="F417" s="11"/>
      <c r="G417" s="11"/>
      <c r="H417" s="11"/>
      <c r="I417" s="13" t="str">
        <f aca="false">IF(NOT(COUNTA($A417:$H417)&gt;0),"",IF(K417&amp;L417&amp;M417&lt;&gt;"","ERROR",IF(N417&amp;O417&amp;P417&lt;&gt;"","CHECK","OK")))</f>
        <v/>
      </c>
      <c r="J417" s="14" t="str">
        <f aca="false">TRIM(K417&amp;L417&amp;M417&amp;N417&amp;O417&amp;P417)</f>
        <v/>
      </c>
      <c r="K417" s="15" t="str">
        <f aca="true">IF(NOT(COUNTA($A417:$H417)&gt;0),"",IF(A417="","Missing date. ",IF(NOT(ISNUMBER(A417)),"Date is not a real date. ",IF(YEAR(A417)&lt;&gt;Settings!$B$4,"Date outside tax year. ",IF(A417&gt;TODAY(),"Date is in the future. ","")))))</f>
        <v/>
      </c>
      <c r="L417" s="15" t="str">
        <f aca="false">IF(NOT(COUNTA($A417:$H417)&gt;0),"",IF(E417="","Missing amount. ",IF(NOT(ISNUMBER(E417)),"Amount is not a number. ",IF(E417&lt;=0,"Amount must be above zero. ",""))))</f>
        <v/>
      </c>
      <c r="M417" s="15" t="str">
        <f aca="false">IF(NOT(COUNTA($A417:$H417)&gt;0),"",IF(D417="","Missing category. ",IF(COUNTIF(Settings!$B$11:$B$40,D417)=0,"Category not in your list. ","")))</f>
        <v/>
      </c>
      <c r="N417" s="15" t="str">
        <f aca="false">IF(AND(ISNUMBER(A417),ISNUMBER(E417),B417&lt;&gt;""),IF(COUNTIFS($A$6:$A$505,A417,$B$6:$B$505,B417,$E$6:$E$505,E417)&gt;1,"Possible duplicate. ",""),"")</f>
        <v/>
      </c>
      <c r="O417" s="15" t="str">
        <f aca="false">IF(AND(ISNUMBER(E417),E417&gt;=Settings!$B$6,G417&lt;&gt;"Yes"),"Receipt not marked as saved. ","")</f>
        <v/>
      </c>
      <c r="P417" s="15" t="str">
        <f aca="false">IF(AND(ISNUMBER(E417),E417&gt;=Settings!$B$5),"Large amount: review. ","")</f>
        <v/>
      </c>
    </row>
    <row r="418" customFormat="false" ht="15" hidden="false" customHeight="false" outlineLevel="0" collapsed="false">
      <c r="A418" s="10"/>
      <c r="B418" s="11"/>
      <c r="C418" s="11"/>
      <c r="D418" s="11"/>
      <c r="E418" s="12"/>
      <c r="F418" s="11"/>
      <c r="G418" s="11"/>
      <c r="H418" s="11"/>
      <c r="I418" s="13" t="str">
        <f aca="false">IF(NOT(COUNTA($A418:$H418)&gt;0),"",IF(K418&amp;L418&amp;M418&lt;&gt;"","ERROR",IF(N418&amp;O418&amp;P418&lt;&gt;"","CHECK","OK")))</f>
        <v/>
      </c>
      <c r="J418" s="14" t="str">
        <f aca="false">TRIM(K418&amp;L418&amp;M418&amp;N418&amp;O418&amp;P418)</f>
        <v/>
      </c>
      <c r="K418" s="15" t="str">
        <f aca="true">IF(NOT(COUNTA($A418:$H418)&gt;0),"",IF(A418="","Missing date. ",IF(NOT(ISNUMBER(A418)),"Date is not a real date. ",IF(YEAR(A418)&lt;&gt;Settings!$B$4,"Date outside tax year. ",IF(A418&gt;TODAY(),"Date is in the future. ","")))))</f>
        <v/>
      </c>
      <c r="L418" s="15" t="str">
        <f aca="false">IF(NOT(COUNTA($A418:$H418)&gt;0),"",IF(E418="","Missing amount. ",IF(NOT(ISNUMBER(E418)),"Amount is not a number. ",IF(E418&lt;=0,"Amount must be above zero. ",""))))</f>
        <v/>
      </c>
      <c r="M418" s="15" t="str">
        <f aca="false">IF(NOT(COUNTA($A418:$H418)&gt;0),"",IF(D418="","Missing category. ",IF(COUNTIF(Settings!$B$11:$B$40,D418)=0,"Category not in your list. ","")))</f>
        <v/>
      </c>
      <c r="N418" s="15" t="str">
        <f aca="false">IF(AND(ISNUMBER(A418),ISNUMBER(E418),B418&lt;&gt;""),IF(COUNTIFS($A$6:$A$505,A418,$B$6:$B$505,B418,$E$6:$E$505,E418)&gt;1,"Possible duplicate. ",""),"")</f>
        <v/>
      </c>
      <c r="O418" s="15" t="str">
        <f aca="false">IF(AND(ISNUMBER(E418),E418&gt;=Settings!$B$6,G418&lt;&gt;"Yes"),"Receipt not marked as saved. ","")</f>
        <v/>
      </c>
      <c r="P418" s="15" t="str">
        <f aca="false">IF(AND(ISNUMBER(E418),E418&gt;=Settings!$B$5),"Large amount: review. ","")</f>
        <v/>
      </c>
    </row>
    <row r="419" customFormat="false" ht="15" hidden="false" customHeight="false" outlineLevel="0" collapsed="false">
      <c r="A419" s="10"/>
      <c r="B419" s="11"/>
      <c r="C419" s="11"/>
      <c r="D419" s="11"/>
      <c r="E419" s="12"/>
      <c r="F419" s="11"/>
      <c r="G419" s="11"/>
      <c r="H419" s="11"/>
      <c r="I419" s="13" t="str">
        <f aca="false">IF(NOT(COUNTA($A419:$H419)&gt;0),"",IF(K419&amp;L419&amp;M419&lt;&gt;"","ERROR",IF(N419&amp;O419&amp;P419&lt;&gt;"","CHECK","OK")))</f>
        <v/>
      </c>
      <c r="J419" s="14" t="str">
        <f aca="false">TRIM(K419&amp;L419&amp;M419&amp;N419&amp;O419&amp;P419)</f>
        <v/>
      </c>
      <c r="K419" s="15" t="str">
        <f aca="true">IF(NOT(COUNTA($A419:$H419)&gt;0),"",IF(A419="","Missing date. ",IF(NOT(ISNUMBER(A419)),"Date is not a real date. ",IF(YEAR(A419)&lt;&gt;Settings!$B$4,"Date outside tax year. ",IF(A419&gt;TODAY(),"Date is in the future. ","")))))</f>
        <v/>
      </c>
      <c r="L419" s="15" t="str">
        <f aca="false">IF(NOT(COUNTA($A419:$H419)&gt;0),"",IF(E419="","Missing amount. ",IF(NOT(ISNUMBER(E419)),"Amount is not a number. ",IF(E419&lt;=0,"Amount must be above zero. ",""))))</f>
        <v/>
      </c>
      <c r="M419" s="15" t="str">
        <f aca="false">IF(NOT(COUNTA($A419:$H419)&gt;0),"",IF(D419="","Missing category. ",IF(COUNTIF(Settings!$B$11:$B$40,D419)=0,"Category not in your list. ","")))</f>
        <v/>
      </c>
      <c r="N419" s="15" t="str">
        <f aca="false">IF(AND(ISNUMBER(A419),ISNUMBER(E419),B419&lt;&gt;""),IF(COUNTIFS($A$6:$A$505,A419,$B$6:$B$505,B419,$E$6:$E$505,E419)&gt;1,"Possible duplicate. ",""),"")</f>
        <v/>
      </c>
      <c r="O419" s="15" t="str">
        <f aca="false">IF(AND(ISNUMBER(E419),E419&gt;=Settings!$B$6,G419&lt;&gt;"Yes"),"Receipt not marked as saved. ","")</f>
        <v/>
      </c>
      <c r="P419" s="15" t="str">
        <f aca="false">IF(AND(ISNUMBER(E419),E419&gt;=Settings!$B$5),"Large amount: review. ","")</f>
        <v/>
      </c>
    </row>
    <row r="420" customFormat="false" ht="15" hidden="false" customHeight="false" outlineLevel="0" collapsed="false">
      <c r="A420" s="10"/>
      <c r="B420" s="11"/>
      <c r="C420" s="11"/>
      <c r="D420" s="11"/>
      <c r="E420" s="12"/>
      <c r="F420" s="11"/>
      <c r="G420" s="11"/>
      <c r="H420" s="11"/>
      <c r="I420" s="13" t="str">
        <f aca="false">IF(NOT(COUNTA($A420:$H420)&gt;0),"",IF(K420&amp;L420&amp;M420&lt;&gt;"","ERROR",IF(N420&amp;O420&amp;P420&lt;&gt;"","CHECK","OK")))</f>
        <v/>
      </c>
      <c r="J420" s="14" t="str">
        <f aca="false">TRIM(K420&amp;L420&amp;M420&amp;N420&amp;O420&amp;P420)</f>
        <v/>
      </c>
      <c r="K420" s="15" t="str">
        <f aca="true">IF(NOT(COUNTA($A420:$H420)&gt;0),"",IF(A420="","Missing date. ",IF(NOT(ISNUMBER(A420)),"Date is not a real date. ",IF(YEAR(A420)&lt;&gt;Settings!$B$4,"Date outside tax year. ",IF(A420&gt;TODAY(),"Date is in the future. ","")))))</f>
        <v/>
      </c>
      <c r="L420" s="15" t="str">
        <f aca="false">IF(NOT(COUNTA($A420:$H420)&gt;0),"",IF(E420="","Missing amount. ",IF(NOT(ISNUMBER(E420)),"Amount is not a number. ",IF(E420&lt;=0,"Amount must be above zero. ",""))))</f>
        <v/>
      </c>
      <c r="M420" s="15" t="str">
        <f aca="false">IF(NOT(COUNTA($A420:$H420)&gt;0),"",IF(D420="","Missing category. ",IF(COUNTIF(Settings!$B$11:$B$40,D420)=0,"Category not in your list. ","")))</f>
        <v/>
      </c>
      <c r="N420" s="15" t="str">
        <f aca="false">IF(AND(ISNUMBER(A420),ISNUMBER(E420),B420&lt;&gt;""),IF(COUNTIFS($A$6:$A$505,A420,$B$6:$B$505,B420,$E$6:$E$505,E420)&gt;1,"Possible duplicate. ",""),"")</f>
        <v/>
      </c>
      <c r="O420" s="15" t="str">
        <f aca="false">IF(AND(ISNUMBER(E420),E420&gt;=Settings!$B$6,G420&lt;&gt;"Yes"),"Receipt not marked as saved. ","")</f>
        <v/>
      </c>
      <c r="P420" s="15" t="str">
        <f aca="false">IF(AND(ISNUMBER(E420),E420&gt;=Settings!$B$5),"Large amount: review. ","")</f>
        <v/>
      </c>
    </row>
    <row r="421" customFormat="false" ht="15" hidden="false" customHeight="false" outlineLevel="0" collapsed="false">
      <c r="A421" s="10"/>
      <c r="B421" s="11"/>
      <c r="C421" s="11"/>
      <c r="D421" s="11"/>
      <c r="E421" s="12"/>
      <c r="F421" s="11"/>
      <c r="G421" s="11"/>
      <c r="H421" s="11"/>
      <c r="I421" s="13" t="str">
        <f aca="false">IF(NOT(COUNTA($A421:$H421)&gt;0),"",IF(K421&amp;L421&amp;M421&lt;&gt;"","ERROR",IF(N421&amp;O421&amp;P421&lt;&gt;"","CHECK","OK")))</f>
        <v/>
      </c>
      <c r="J421" s="14" t="str">
        <f aca="false">TRIM(K421&amp;L421&amp;M421&amp;N421&amp;O421&amp;P421)</f>
        <v/>
      </c>
      <c r="K421" s="15" t="str">
        <f aca="true">IF(NOT(COUNTA($A421:$H421)&gt;0),"",IF(A421="","Missing date. ",IF(NOT(ISNUMBER(A421)),"Date is not a real date. ",IF(YEAR(A421)&lt;&gt;Settings!$B$4,"Date outside tax year. ",IF(A421&gt;TODAY(),"Date is in the future. ","")))))</f>
        <v/>
      </c>
      <c r="L421" s="15" t="str">
        <f aca="false">IF(NOT(COUNTA($A421:$H421)&gt;0),"",IF(E421="","Missing amount. ",IF(NOT(ISNUMBER(E421)),"Amount is not a number. ",IF(E421&lt;=0,"Amount must be above zero. ",""))))</f>
        <v/>
      </c>
      <c r="M421" s="15" t="str">
        <f aca="false">IF(NOT(COUNTA($A421:$H421)&gt;0),"",IF(D421="","Missing category. ",IF(COUNTIF(Settings!$B$11:$B$40,D421)=0,"Category not in your list. ","")))</f>
        <v/>
      </c>
      <c r="N421" s="15" t="str">
        <f aca="false">IF(AND(ISNUMBER(A421),ISNUMBER(E421),B421&lt;&gt;""),IF(COUNTIFS($A$6:$A$505,A421,$B$6:$B$505,B421,$E$6:$E$505,E421)&gt;1,"Possible duplicate. ",""),"")</f>
        <v/>
      </c>
      <c r="O421" s="15" t="str">
        <f aca="false">IF(AND(ISNUMBER(E421),E421&gt;=Settings!$B$6,G421&lt;&gt;"Yes"),"Receipt not marked as saved. ","")</f>
        <v/>
      </c>
      <c r="P421" s="15" t="str">
        <f aca="false">IF(AND(ISNUMBER(E421),E421&gt;=Settings!$B$5),"Large amount: review. ","")</f>
        <v/>
      </c>
    </row>
    <row r="422" customFormat="false" ht="15" hidden="false" customHeight="false" outlineLevel="0" collapsed="false">
      <c r="A422" s="10"/>
      <c r="B422" s="11"/>
      <c r="C422" s="11"/>
      <c r="D422" s="11"/>
      <c r="E422" s="12"/>
      <c r="F422" s="11"/>
      <c r="G422" s="11"/>
      <c r="H422" s="11"/>
      <c r="I422" s="13" t="str">
        <f aca="false">IF(NOT(COUNTA($A422:$H422)&gt;0),"",IF(K422&amp;L422&amp;M422&lt;&gt;"","ERROR",IF(N422&amp;O422&amp;P422&lt;&gt;"","CHECK","OK")))</f>
        <v/>
      </c>
      <c r="J422" s="14" t="str">
        <f aca="false">TRIM(K422&amp;L422&amp;M422&amp;N422&amp;O422&amp;P422)</f>
        <v/>
      </c>
      <c r="K422" s="15" t="str">
        <f aca="true">IF(NOT(COUNTA($A422:$H422)&gt;0),"",IF(A422="","Missing date. ",IF(NOT(ISNUMBER(A422)),"Date is not a real date. ",IF(YEAR(A422)&lt;&gt;Settings!$B$4,"Date outside tax year. ",IF(A422&gt;TODAY(),"Date is in the future. ","")))))</f>
        <v/>
      </c>
      <c r="L422" s="15" t="str">
        <f aca="false">IF(NOT(COUNTA($A422:$H422)&gt;0),"",IF(E422="","Missing amount. ",IF(NOT(ISNUMBER(E422)),"Amount is not a number. ",IF(E422&lt;=0,"Amount must be above zero. ",""))))</f>
        <v/>
      </c>
      <c r="M422" s="15" t="str">
        <f aca="false">IF(NOT(COUNTA($A422:$H422)&gt;0),"",IF(D422="","Missing category. ",IF(COUNTIF(Settings!$B$11:$B$40,D422)=0,"Category not in your list. ","")))</f>
        <v/>
      </c>
      <c r="N422" s="15" t="str">
        <f aca="false">IF(AND(ISNUMBER(A422),ISNUMBER(E422),B422&lt;&gt;""),IF(COUNTIFS($A$6:$A$505,A422,$B$6:$B$505,B422,$E$6:$E$505,E422)&gt;1,"Possible duplicate. ",""),"")</f>
        <v/>
      </c>
      <c r="O422" s="15" t="str">
        <f aca="false">IF(AND(ISNUMBER(E422),E422&gt;=Settings!$B$6,G422&lt;&gt;"Yes"),"Receipt not marked as saved. ","")</f>
        <v/>
      </c>
      <c r="P422" s="15" t="str">
        <f aca="false">IF(AND(ISNUMBER(E422),E422&gt;=Settings!$B$5),"Large amount: review. ","")</f>
        <v/>
      </c>
    </row>
    <row r="423" customFormat="false" ht="15" hidden="false" customHeight="false" outlineLevel="0" collapsed="false">
      <c r="A423" s="10"/>
      <c r="B423" s="11"/>
      <c r="C423" s="11"/>
      <c r="D423" s="11"/>
      <c r="E423" s="12"/>
      <c r="F423" s="11"/>
      <c r="G423" s="11"/>
      <c r="H423" s="11"/>
      <c r="I423" s="13" t="str">
        <f aca="false">IF(NOT(COUNTA($A423:$H423)&gt;0),"",IF(K423&amp;L423&amp;M423&lt;&gt;"","ERROR",IF(N423&amp;O423&amp;P423&lt;&gt;"","CHECK","OK")))</f>
        <v/>
      </c>
      <c r="J423" s="14" t="str">
        <f aca="false">TRIM(K423&amp;L423&amp;M423&amp;N423&amp;O423&amp;P423)</f>
        <v/>
      </c>
      <c r="K423" s="15" t="str">
        <f aca="true">IF(NOT(COUNTA($A423:$H423)&gt;0),"",IF(A423="","Missing date. ",IF(NOT(ISNUMBER(A423)),"Date is not a real date. ",IF(YEAR(A423)&lt;&gt;Settings!$B$4,"Date outside tax year. ",IF(A423&gt;TODAY(),"Date is in the future. ","")))))</f>
        <v/>
      </c>
      <c r="L423" s="15" t="str">
        <f aca="false">IF(NOT(COUNTA($A423:$H423)&gt;0),"",IF(E423="","Missing amount. ",IF(NOT(ISNUMBER(E423)),"Amount is not a number. ",IF(E423&lt;=0,"Amount must be above zero. ",""))))</f>
        <v/>
      </c>
      <c r="M423" s="15" t="str">
        <f aca="false">IF(NOT(COUNTA($A423:$H423)&gt;0),"",IF(D423="","Missing category. ",IF(COUNTIF(Settings!$B$11:$B$40,D423)=0,"Category not in your list. ","")))</f>
        <v/>
      </c>
      <c r="N423" s="15" t="str">
        <f aca="false">IF(AND(ISNUMBER(A423),ISNUMBER(E423),B423&lt;&gt;""),IF(COUNTIFS($A$6:$A$505,A423,$B$6:$B$505,B423,$E$6:$E$505,E423)&gt;1,"Possible duplicate. ",""),"")</f>
        <v/>
      </c>
      <c r="O423" s="15" t="str">
        <f aca="false">IF(AND(ISNUMBER(E423),E423&gt;=Settings!$B$6,G423&lt;&gt;"Yes"),"Receipt not marked as saved. ","")</f>
        <v/>
      </c>
      <c r="P423" s="15" t="str">
        <f aca="false">IF(AND(ISNUMBER(E423),E423&gt;=Settings!$B$5),"Large amount: review. ","")</f>
        <v/>
      </c>
    </row>
    <row r="424" customFormat="false" ht="15" hidden="false" customHeight="false" outlineLevel="0" collapsed="false">
      <c r="A424" s="10"/>
      <c r="B424" s="11"/>
      <c r="C424" s="11"/>
      <c r="D424" s="11"/>
      <c r="E424" s="12"/>
      <c r="F424" s="11"/>
      <c r="G424" s="11"/>
      <c r="H424" s="11"/>
      <c r="I424" s="13" t="str">
        <f aca="false">IF(NOT(COUNTA($A424:$H424)&gt;0),"",IF(K424&amp;L424&amp;M424&lt;&gt;"","ERROR",IF(N424&amp;O424&amp;P424&lt;&gt;"","CHECK","OK")))</f>
        <v/>
      </c>
      <c r="J424" s="14" t="str">
        <f aca="false">TRIM(K424&amp;L424&amp;M424&amp;N424&amp;O424&amp;P424)</f>
        <v/>
      </c>
      <c r="K424" s="15" t="str">
        <f aca="true">IF(NOT(COUNTA($A424:$H424)&gt;0),"",IF(A424="","Missing date. ",IF(NOT(ISNUMBER(A424)),"Date is not a real date. ",IF(YEAR(A424)&lt;&gt;Settings!$B$4,"Date outside tax year. ",IF(A424&gt;TODAY(),"Date is in the future. ","")))))</f>
        <v/>
      </c>
      <c r="L424" s="15" t="str">
        <f aca="false">IF(NOT(COUNTA($A424:$H424)&gt;0),"",IF(E424="","Missing amount. ",IF(NOT(ISNUMBER(E424)),"Amount is not a number. ",IF(E424&lt;=0,"Amount must be above zero. ",""))))</f>
        <v/>
      </c>
      <c r="M424" s="15" t="str">
        <f aca="false">IF(NOT(COUNTA($A424:$H424)&gt;0),"",IF(D424="","Missing category. ",IF(COUNTIF(Settings!$B$11:$B$40,D424)=0,"Category not in your list. ","")))</f>
        <v/>
      </c>
      <c r="N424" s="15" t="str">
        <f aca="false">IF(AND(ISNUMBER(A424),ISNUMBER(E424),B424&lt;&gt;""),IF(COUNTIFS($A$6:$A$505,A424,$B$6:$B$505,B424,$E$6:$E$505,E424)&gt;1,"Possible duplicate. ",""),"")</f>
        <v/>
      </c>
      <c r="O424" s="15" t="str">
        <f aca="false">IF(AND(ISNUMBER(E424),E424&gt;=Settings!$B$6,G424&lt;&gt;"Yes"),"Receipt not marked as saved. ","")</f>
        <v/>
      </c>
      <c r="P424" s="15" t="str">
        <f aca="false">IF(AND(ISNUMBER(E424),E424&gt;=Settings!$B$5),"Large amount: review. ","")</f>
        <v/>
      </c>
    </row>
    <row r="425" customFormat="false" ht="15" hidden="false" customHeight="false" outlineLevel="0" collapsed="false">
      <c r="A425" s="10"/>
      <c r="B425" s="11"/>
      <c r="C425" s="11"/>
      <c r="D425" s="11"/>
      <c r="E425" s="12"/>
      <c r="F425" s="11"/>
      <c r="G425" s="11"/>
      <c r="H425" s="11"/>
      <c r="I425" s="13" t="str">
        <f aca="false">IF(NOT(COUNTA($A425:$H425)&gt;0),"",IF(K425&amp;L425&amp;M425&lt;&gt;"","ERROR",IF(N425&amp;O425&amp;P425&lt;&gt;"","CHECK","OK")))</f>
        <v/>
      </c>
      <c r="J425" s="14" t="str">
        <f aca="false">TRIM(K425&amp;L425&amp;M425&amp;N425&amp;O425&amp;P425)</f>
        <v/>
      </c>
      <c r="K425" s="15" t="str">
        <f aca="true">IF(NOT(COUNTA($A425:$H425)&gt;0),"",IF(A425="","Missing date. ",IF(NOT(ISNUMBER(A425)),"Date is not a real date. ",IF(YEAR(A425)&lt;&gt;Settings!$B$4,"Date outside tax year. ",IF(A425&gt;TODAY(),"Date is in the future. ","")))))</f>
        <v/>
      </c>
      <c r="L425" s="15" t="str">
        <f aca="false">IF(NOT(COUNTA($A425:$H425)&gt;0),"",IF(E425="","Missing amount. ",IF(NOT(ISNUMBER(E425)),"Amount is not a number. ",IF(E425&lt;=0,"Amount must be above zero. ",""))))</f>
        <v/>
      </c>
      <c r="M425" s="15" t="str">
        <f aca="false">IF(NOT(COUNTA($A425:$H425)&gt;0),"",IF(D425="","Missing category. ",IF(COUNTIF(Settings!$B$11:$B$40,D425)=0,"Category not in your list. ","")))</f>
        <v/>
      </c>
      <c r="N425" s="15" t="str">
        <f aca="false">IF(AND(ISNUMBER(A425),ISNUMBER(E425),B425&lt;&gt;""),IF(COUNTIFS($A$6:$A$505,A425,$B$6:$B$505,B425,$E$6:$E$505,E425)&gt;1,"Possible duplicate. ",""),"")</f>
        <v/>
      </c>
      <c r="O425" s="15" t="str">
        <f aca="false">IF(AND(ISNUMBER(E425),E425&gt;=Settings!$B$6,G425&lt;&gt;"Yes"),"Receipt not marked as saved. ","")</f>
        <v/>
      </c>
      <c r="P425" s="15" t="str">
        <f aca="false">IF(AND(ISNUMBER(E425),E425&gt;=Settings!$B$5),"Large amount: review. ","")</f>
        <v/>
      </c>
    </row>
    <row r="426" customFormat="false" ht="15" hidden="false" customHeight="false" outlineLevel="0" collapsed="false">
      <c r="A426" s="10"/>
      <c r="B426" s="11"/>
      <c r="C426" s="11"/>
      <c r="D426" s="11"/>
      <c r="E426" s="12"/>
      <c r="F426" s="11"/>
      <c r="G426" s="11"/>
      <c r="H426" s="11"/>
      <c r="I426" s="13" t="str">
        <f aca="false">IF(NOT(COUNTA($A426:$H426)&gt;0),"",IF(K426&amp;L426&amp;M426&lt;&gt;"","ERROR",IF(N426&amp;O426&amp;P426&lt;&gt;"","CHECK","OK")))</f>
        <v/>
      </c>
      <c r="J426" s="14" t="str">
        <f aca="false">TRIM(K426&amp;L426&amp;M426&amp;N426&amp;O426&amp;P426)</f>
        <v/>
      </c>
      <c r="K426" s="15" t="str">
        <f aca="true">IF(NOT(COUNTA($A426:$H426)&gt;0),"",IF(A426="","Missing date. ",IF(NOT(ISNUMBER(A426)),"Date is not a real date. ",IF(YEAR(A426)&lt;&gt;Settings!$B$4,"Date outside tax year. ",IF(A426&gt;TODAY(),"Date is in the future. ","")))))</f>
        <v/>
      </c>
      <c r="L426" s="15" t="str">
        <f aca="false">IF(NOT(COUNTA($A426:$H426)&gt;0),"",IF(E426="","Missing amount. ",IF(NOT(ISNUMBER(E426)),"Amount is not a number. ",IF(E426&lt;=0,"Amount must be above zero. ",""))))</f>
        <v/>
      </c>
      <c r="M426" s="15" t="str">
        <f aca="false">IF(NOT(COUNTA($A426:$H426)&gt;0),"",IF(D426="","Missing category. ",IF(COUNTIF(Settings!$B$11:$B$40,D426)=0,"Category not in your list. ","")))</f>
        <v/>
      </c>
      <c r="N426" s="15" t="str">
        <f aca="false">IF(AND(ISNUMBER(A426),ISNUMBER(E426),B426&lt;&gt;""),IF(COUNTIFS($A$6:$A$505,A426,$B$6:$B$505,B426,$E$6:$E$505,E426)&gt;1,"Possible duplicate. ",""),"")</f>
        <v/>
      </c>
      <c r="O426" s="15" t="str">
        <f aca="false">IF(AND(ISNUMBER(E426),E426&gt;=Settings!$B$6,G426&lt;&gt;"Yes"),"Receipt not marked as saved. ","")</f>
        <v/>
      </c>
      <c r="P426" s="15" t="str">
        <f aca="false">IF(AND(ISNUMBER(E426),E426&gt;=Settings!$B$5),"Large amount: review. ","")</f>
        <v/>
      </c>
    </row>
    <row r="427" customFormat="false" ht="15" hidden="false" customHeight="false" outlineLevel="0" collapsed="false">
      <c r="A427" s="10"/>
      <c r="B427" s="11"/>
      <c r="C427" s="11"/>
      <c r="D427" s="11"/>
      <c r="E427" s="12"/>
      <c r="F427" s="11"/>
      <c r="G427" s="11"/>
      <c r="H427" s="11"/>
      <c r="I427" s="13" t="str">
        <f aca="false">IF(NOT(COUNTA($A427:$H427)&gt;0),"",IF(K427&amp;L427&amp;M427&lt;&gt;"","ERROR",IF(N427&amp;O427&amp;P427&lt;&gt;"","CHECK","OK")))</f>
        <v/>
      </c>
      <c r="J427" s="14" t="str">
        <f aca="false">TRIM(K427&amp;L427&amp;M427&amp;N427&amp;O427&amp;P427)</f>
        <v/>
      </c>
      <c r="K427" s="15" t="str">
        <f aca="true">IF(NOT(COUNTA($A427:$H427)&gt;0),"",IF(A427="","Missing date. ",IF(NOT(ISNUMBER(A427)),"Date is not a real date. ",IF(YEAR(A427)&lt;&gt;Settings!$B$4,"Date outside tax year. ",IF(A427&gt;TODAY(),"Date is in the future. ","")))))</f>
        <v/>
      </c>
      <c r="L427" s="15" t="str">
        <f aca="false">IF(NOT(COUNTA($A427:$H427)&gt;0),"",IF(E427="","Missing amount. ",IF(NOT(ISNUMBER(E427)),"Amount is not a number. ",IF(E427&lt;=0,"Amount must be above zero. ",""))))</f>
        <v/>
      </c>
      <c r="M427" s="15" t="str">
        <f aca="false">IF(NOT(COUNTA($A427:$H427)&gt;0),"",IF(D427="","Missing category. ",IF(COUNTIF(Settings!$B$11:$B$40,D427)=0,"Category not in your list. ","")))</f>
        <v/>
      </c>
      <c r="N427" s="15" t="str">
        <f aca="false">IF(AND(ISNUMBER(A427),ISNUMBER(E427),B427&lt;&gt;""),IF(COUNTIFS($A$6:$A$505,A427,$B$6:$B$505,B427,$E$6:$E$505,E427)&gt;1,"Possible duplicate. ",""),"")</f>
        <v/>
      </c>
      <c r="O427" s="15" t="str">
        <f aca="false">IF(AND(ISNUMBER(E427),E427&gt;=Settings!$B$6,G427&lt;&gt;"Yes"),"Receipt not marked as saved. ","")</f>
        <v/>
      </c>
      <c r="P427" s="15" t="str">
        <f aca="false">IF(AND(ISNUMBER(E427),E427&gt;=Settings!$B$5),"Large amount: review. ","")</f>
        <v/>
      </c>
    </row>
    <row r="428" customFormat="false" ht="15" hidden="false" customHeight="false" outlineLevel="0" collapsed="false">
      <c r="A428" s="10"/>
      <c r="B428" s="11"/>
      <c r="C428" s="11"/>
      <c r="D428" s="11"/>
      <c r="E428" s="12"/>
      <c r="F428" s="11"/>
      <c r="G428" s="11"/>
      <c r="H428" s="11"/>
      <c r="I428" s="13" t="str">
        <f aca="false">IF(NOT(COUNTA($A428:$H428)&gt;0),"",IF(K428&amp;L428&amp;M428&lt;&gt;"","ERROR",IF(N428&amp;O428&amp;P428&lt;&gt;"","CHECK","OK")))</f>
        <v/>
      </c>
      <c r="J428" s="14" t="str">
        <f aca="false">TRIM(K428&amp;L428&amp;M428&amp;N428&amp;O428&amp;P428)</f>
        <v/>
      </c>
      <c r="K428" s="15" t="str">
        <f aca="true">IF(NOT(COUNTA($A428:$H428)&gt;0),"",IF(A428="","Missing date. ",IF(NOT(ISNUMBER(A428)),"Date is not a real date. ",IF(YEAR(A428)&lt;&gt;Settings!$B$4,"Date outside tax year. ",IF(A428&gt;TODAY(),"Date is in the future. ","")))))</f>
        <v/>
      </c>
      <c r="L428" s="15" t="str">
        <f aca="false">IF(NOT(COUNTA($A428:$H428)&gt;0),"",IF(E428="","Missing amount. ",IF(NOT(ISNUMBER(E428)),"Amount is not a number. ",IF(E428&lt;=0,"Amount must be above zero. ",""))))</f>
        <v/>
      </c>
      <c r="M428" s="15" t="str">
        <f aca="false">IF(NOT(COUNTA($A428:$H428)&gt;0),"",IF(D428="","Missing category. ",IF(COUNTIF(Settings!$B$11:$B$40,D428)=0,"Category not in your list. ","")))</f>
        <v/>
      </c>
      <c r="N428" s="15" t="str">
        <f aca="false">IF(AND(ISNUMBER(A428),ISNUMBER(E428),B428&lt;&gt;""),IF(COUNTIFS($A$6:$A$505,A428,$B$6:$B$505,B428,$E$6:$E$505,E428)&gt;1,"Possible duplicate. ",""),"")</f>
        <v/>
      </c>
      <c r="O428" s="15" t="str">
        <f aca="false">IF(AND(ISNUMBER(E428),E428&gt;=Settings!$B$6,G428&lt;&gt;"Yes"),"Receipt not marked as saved. ","")</f>
        <v/>
      </c>
      <c r="P428" s="15" t="str">
        <f aca="false">IF(AND(ISNUMBER(E428),E428&gt;=Settings!$B$5),"Large amount: review. ","")</f>
        <v/>
      </c>
    </row>
    <row r="429" customFormat="false" ht="15" hidden="false" customHeight="false" outlineLevel="0" collapsed="false">
      <c r="A429" s="10"/>
      <c r="B429" s="11"/>
      <c r="C429" s="11"/>
      <c r="D429" s="11"/>
      <c r="E429" s="12"/>
      <c r="F429" s="11"/>
      <c r="G429" s="11"/>
      <c r="H429" s="11"/>
      <c r="I429" s="13" t="str">
        <f aca="false">IF(NOT(COUNTA($A429:$H429)&gt;0),"",IF(K429&amp;L429&amp;M429&lt;&gt;"","ERROR",IF(N429&amp;O429&amp;P429&lt;&gt;"","CHECK","OK")))</f>
        <v/>
      </c>
      <c r="J429" s="14" t="str">
        <f aca="false">TRIM(K429&amp;L429&amp;M429&amp;N429&amp;O429&amp;P429)</f>
        <v/>
      </c>
      <c r="K429" s="15" t="str">
        <f aca="true">IF(NOT(COUNTA($A429:$H429)&gt;0),"",IF(A429="","Missing date. ",IF(NOT(ISNUMBER(A429)),"Date is not a real date. ",IF(YEAR(A429)&lt;&gt;Settings!$B$4,"Date outside tax year. ",IF(A429&gt;TODAY(),"Date is in the future. ","")))))</f>
        <v/>
      </c>
      <c r="L429" s="15" t="str">
        <f aca="false">IF(NOT(COUNTA($A429:$H429)&gt;0),"",IF(E429="","Missing amount. ",IF(NOT(ISNUMBER(E429)),"Amount is not a number. ",IF(E429&lt;=0,"Amount must be above zero. ",""))))</f>
        <v/>
      </c>
      <c r="M429" s="15" t="str">
        <f aca="false">IF(NOT(COUNTA($A429:$H429)&gt;0),"",IF(D429="","Missing category. ",IF(COUNTIF(Settings!$B$11:$B$40,D429)=0,"Category not in your list. ","")))</f>
        <v/>
      </c>
      <c r="N429" s="15" t="str">
        <f aca="false">IF(AND(ISNUMBER(A429),ISNUMBER(E429),B429&lt;&gt;""),IF(COUNTIFS($A$6:$A$505,A429,$B$6:$B$505,B429,$E$6:$E$505,E429)&gt;1,"Possible duplicate. ",""),"")</f>
        <v/>
      </c>
      <c r="O429" s="15" t="str">
        <f aca="false">IF(AND(ISNUMBER(E429),E429&gt;=Settings!$B$6,G429&lt;&gt;"Yes"),"Receipt not marked as saved. ","")</f>
        <v/>
      </c>
      <c r="P429" s="15" t="str">
        <f aca="false">IF(AND(ISNUMBER(E429),E429&gt;=Settings!$B$5),"Large amount: review. ","")</f>
        <v/>
      </c>
    </row>
    <row r="430" customFormat="false" ht="15" hidden="false" customHeight="false" outlineLevel="0" collapsed="false">
      <c r="A430" s="10"/>
      <c r="B430" s="11"/>
      <c r="C430" s="11"/>
      <c r="D430" s="11"/>
      <c r="E430" s="12"/>
      <c r="F430" s="11"/>
      <c r="G430" s="11"/>
      <c r="H430" s="11"/>
      <c r="I430" s="13" t="str">
        <f aca="false">IF(NOT(COUNTA($A430:$H430)&gt;0),"",IF(K430&amp;L430&amp;M430&lt;&gt;"","ERROR",IF(N430&amp;O430&amp;P430&lt;&gt;"","CHECK","OK")))</f>
        <v/>
      </c>
      <c r="J430" s="14" t="str">
        <f aca="false">TRIM(K430&amp;L430&amp;M430&amp;N430&amp;O430&amp;P430)</f>
        <v/>
      </c>
      <c r="K430" s="15" t="str">
        <f aca="true">IF(NOT(COUNTA($A430:$H430)&gt;0),"",IF(A430="","Missing date. ",IF(NOT(ISNUMBER(A430)),"Date is not a real date. ",IF(YEAR(A430)&lt;&gt;Settings!$B$4,"Date outside tax year. ",IF(A430&gt;TODAY(),"Date is in the future. ","")))))</f>
        <v/>
      </c>
      <c r="L430" s="15" t="str">
        <f aca="false">IF(NOT(COUNTA($A430:$H430)&gt;0),"",IF(E430="","Missing amount. ",IF(NOT(ISNUMBER(E430)),"Amount is not a number. ",IF(E430&lt;=0,"Amount must be above zero. ",""))))</f>
        <v/>
      </c>
      <c r="M430" s="15" t="str">
        <f aca="false">IF(NOT(COUNTA($A430:$H430)&gt;0),"",IF(D430="","Missing category. ",IF(COUNTIF(Settings!$B$11:$B$40,D430)=0,"Category not in your list. ","")))</f>
        <v/>
      </c>
      <c r="N430" s="15" t="str">
        <f aca="false">IF(AND(ISNUMBER(A430),ISNUMBER(E430),B430&lt;&gt;""),IF(COUNTIFS($A$6:$A$505,A430,$B$6:$B$505,B430,$E$6:$E$505,E430)&gt;1,"Possible duplicate. ",""),"")</f>
        <v/>
      </c>
      <c r="O430" s="15" t="str">
        <f aca="false">IF(AND(ISNUMBER(E430),E430&gt;=Settings!$B$6,G430&lt;&gt;"Yes"),"Receipt not marked as saved. ","")</f>
        <v/>
      </c>
      <c r="P430" s="15" t="str">
        <f aca="false">IF(AND(ISNUMBER(E430),E430&gt;=Settings!$B$5),"Large amount: review. ","")</f>
        <v/>
      </c>
    </row>
    <row r="431" customFormat="false" ht="15" hidden="false" customHeight="false" outlineLevel="0" collapsed="false">
      <c r="A431" s="10"/>
      <c r="B431" s="11"/>
      <c r="C431" s="11"/>
      <c r="D431" s="11"/>
      <c r="E431" s="12"/>
      <c r="F431" s="11"/>
      <c r="G431" s="11"/>
      <c r="H431" s="11"/>
      <c r="I431" s="13" t="str">
        <f aca="false">IF(NOT(COUNTA($A431:$H431)&gt;0),"",IF(K431&amp;L431&amp;M431&lt;&gt;"","ERROR",IF(N431&amp;O431&amp;P431&lt;&gt;"","CHECK","OK")))</f>
        <v/>
      </c>
      <c r="J431" s="14" t="str">
        <f aca="false">TRIM(K431&amp;L431&amp;M431&amp;N431&amp;O431&amp;P431)</f>
        <v/>
      </c>
      <c r="K431" s="15" t="str">
        <f aca="true">IF(NOT(COUNTA($A431:$H431)&gt;0),"",IF(A431="","Missing date. ",IF(NOT(ISNUMBER(A431)),"Date is not a real date. ",IF(YEAR(A431)&lt;&gt;Settings!$B$4,"Date outside tax year. ",IF(A431&gt;TODAY(),"Date is in the future. ","")))))</f>
        <v/>
      </c>
      <c r="L431" s="15" t="str">
        <f aca="false">IF(NOT(COUNTA($A431:$H431)&gt;0),"",IF(E431="","Missing amount. ",IF(NOT(ISNUMBER(E431)),"Amount is not a number. ",IF(E431&lt;=0,"Amount must be above zero. ",""))))</f>
        <v/>
      </c>
      <c r="M431" s="15" t="str">
        <f aca="false">IF(NOT(COUNTA($A431:$H431)&gt;0),"",IF(D431="","Missing category. ",IF(COUNTIF(Settings!$B$11:$B$40,D431)=0,"Category not in your list. ","")))</f>
        <v/>
      </c>
      <c r="N431" s="15" t="str">
        <f aca="false">IF(AND(ISNUMBER(A431),ISNUMBER(E431),B431&lt;&gt;""),IF(COUNTIFS($A$6:$A$505,A431,$B$6:$B$505,B431,$E$6:$E$505,E431)&gt;1,"Possible duplicate. ",""),"")</f>
        <v/>
      </c>
      <c r="O431" s="15" t="str">
        <f aca="false">IF(AND(ISNUMBER(E431),E431&gt;=Settings!$B$6,G431&lt;&gt;"Yes"),"Receipt not marked as saved. ","")</f>
        <v/>
      </c>
      <c r="P431" s="15" t="str">
        <f aca="false">IF(AND(ISNUMBER(E431),E431&gt;=Settings!$B$5),"Large amount: review. ","")</f>
        <v/>
      </c>
    </row>
    <row r="432" customFormat="false" ht="15" hidden="false" customHeight="false" outlineLevel="0" collapsed="false">
      <c r="A432" s="10"/>
      <c r="B432" s="11"/>
      <c r="C432" s="11"/>
      <c r="D432" s="11"/>
      <c r="E432" s="12"/>
      <c r="F432" s="11"/>
      <c r="G432" s="11"/>
      <c r="H432" s="11"/>
      <c r="I432" s="13" t="str">
        <f aca="false">IF(NOT(COUNTA($A432:$H432)&gt;0),"",IF(K432&amp;L432&amp;M432&lt;&gt;"","ERROR",IF(N432&amp;O432&amp;P432&lt;&gt;"","CHECK","OK")))</f>
        <v/>
      </c>
      <c r="J432" s="14" t="str">
        <f aca="false">TRIM(K432&amp;L432&amp;M432&amp;N432&amp;O432&amp;P432)</f>
        <v/>
      </c>
      <c r="K432" s="15" t="str">
        <f aca="true">IF(NOT(COUNTA($A432:$H432)&gt;0),"",IF(A432="","Missing date. ",IF(NOT(ISNUMBER(A432)),"Date is not a real date. ",IF(YEAR(A432)&lt;&gt;Settings!$B$4,"Date outside tax year. ",IF(A432&gt;TODAY(),"Date is in the future. ","")))))</f>
        <v/>
      </c>
      <c r="L432" s="15" t="str">
        <f aca="false">IF(NOT(COUNTA($A432:$H432)&gt;0),"",IF(E432="","Missing amount. ",IF(NOT(ISNUMBER(E432)),"Amount is not a number. ",IF(E432&lt;=0,"Amount must be above zero. ",""))))</f>
        <v/>
      </c>
      <c r="M432" s="15" t="str">
        <f aca="false">IF(NOT(COUNTA($A432:$H432)&gt;0),"",IF(D432="","Missing category. ",IF(COUNTIF(Settings!$B$11:$B$40,D432)=0,"Category not in your list. ","")))</f>
        <v/>
      </c>
      <c r="N432" s="15" t="str">
        <f aca="false">IF(AND(ISNUMBER(A432),ISNUMBER(E432),B432&lt;&gt;""),IF(COUNTIFS($A$6:$A$505,A432,$B$6:$B$505,B432,$E$6:$E$505,E432)&gt;1,"Possible duplicate. ",""),"")</f>
        <v/>
      </c>
      <c r="O432" s="15" t="str">
        <f aca="false">IF(AND(ISNUMBER(E432),E432&gt;=Settings!$B$6,G432&lt;&gt;"Yes"),"Receipt not marked as saved. ","")</f>
        <v/>
      </c>
      <c r="P432" s="15" t="str">
        <f aca="false">IF(AND(ISNUMBER(E432),E432&gt;=Settings!$B$5),"Large amount: review. ","")</f>
        <v/>
      </c>
    </row>
    <row r="433" customFormat="false" ht="15" hidden="false" customHeight="false" outlineLevel="0" collapsed="false">
      <c r="A433" s="10"/>
      <c r="B433" s="11"/>
      <c r="C433" s="11"/>
      <c r="D433" s="11"/>
      <c r="E433" s="12"/>
      <c r="F433" s="11"/>
      <c r="G433" s="11"/>
      <c r="H433" s="11"/>
      <c r="I433" s="13" t="str">
        <f aca="false">IF(NOT(COUNTA($A433:$H433)&gt;0),"",IF(K433&amp;L433&amp;M433&lt;&gt;"","ERROR",IF(N433&amp;O433&amp;P433&lt;&gt;"","CHECK","OK")))</f>
        <v/>
      </c>
      <c r="J433" s="14" t="str">
        <f aca="false">TRIM(K433&amp;L433&amp;M433&amp;N433&amp;O433&amp;P433)</f>
        <v/>
      </c>
      <c r="K433" s="15" t="str">
        <f aca="true">IF(NOT(COUNTA($A433:$H433)&gt;0),"",IF(A433="","Missing date. ",IF(NOT(ISNUMBER(A433)),"Date is not a real date. ",IF(YEAR(A433)&lt;&gt;Settings!$B$4,"Date outside tax year. ",IF(A433&gt;TODAY(),"Date is in the future. ","")))))</f>
        <v/>
      </c>
      <c r="L433" s="15" t="str">
        <f aca="false">IF(NOT(COUNTA($A433:$H433)&gt;0),"",IF(E433="","Missing amount. ",IF(NOT(ISNUMBER(E433)),"Amount is not a number. ",IF(E433&lt;=0,"Amount must be above zero. ",""))))</f>
        <v/>
      </c>
      <c r="M433" s="15" t="str">
        <f aca="false">IF(NOT(COUNTA($A433:$H433)&gt;0),"",IF(D433="","Missing category. ",IF(COUNTIF(Settings!$B$11:$B$40,D433)=0,"Category not in your list. ","")))</f>
        <v/>
      </c>
      <c r="N433" s="15" t="str">
        <f aca="false">IF(AND(ISNUMBER(A433),ISNUMBER(E433),B433&lt;&gt;""),IF(COUNTIFS($A$6:$A$505,A433,$B$6:$B$505,B433,$E$6:$E$505,E433)&gt;1,"Possible duplicate. ",""),"")</f>
        <v/>
      </c>
      <c r="O433" s="15" t="str">
        <f aca="false">IF(AND(ISNUMBER(E433),E433&gt;=Settings!$B$6,G433&lt;&gt;"Yes"),"Receipt not marked as saved. ","")</f>
        <v/>
      </c>
      <c r="P433" s="15" t="str">
        <f aca="false">IF(AND(ISNUMBER(E433),E433&gt;=Settings!$B$5),"Large amount: review. ","")</f>
        <v/>
      </c>
    </row>
    <row r="434" customFormat="false" ht="15" hidden="false" customHeight="false" outlineLevel="0" collapsed="false">
      <c r="A434" s="10"/>
      <c r="B434" s="11"/>
      <c r="C434" s="11"/>
      <c r="D434" s="11"/>
      <c r="E434" s="12"/>
      <c r="F434" s="11"/>
      <c r="G434" s="11"/>
      <c r="H434" s="11"/>
      <c r="I434" s="13" t="str">
        <f aca="false">IF(NOT(COUNTA($A434:$H434)&gt;0),"",IF(K434&amp;L434&amp;M434&lt;&gt;"","ERROR",IF(N434&amp;O434&amp;P434&lt;&gt;"","CHECK","OK")))</f>
        <v/>
      </c>
      <c r="J434" s="14" t="str">
        <f aca="false">TRIM(K434&amp;L434&amp;M434&amp;N434&amp;O434&amp;P434)</f>
        <v/>
      </c>
      <c r="K434" s="15" t="str">
        <f aca="true">IF(NOT(COUNTA($A434:$H434)&gt;0),"",IF(A434="","Missing date. ",IF(NOT(ISNUMBER(A434)),"Date is not a real date. ",IF(YEAR(A434)&lt;&gt;Settings!$B$4,"Date outside tax year. ",IF(A434&gt;TODAY(),"Date is in the future. ","")))))</f>
        <v/>
      </c>
      <c r="L434" s="15" t="str">
        <f aca="false">IF(NOT(COUNTA($A434:$H434)&gt;0),"",IF(E434="","Missing amount. ",IF(NOT(ISNUMBER(E434)),"Amount is not a number. ",IF(E434&lt;=0,"Amount must be above zero. ",""))))</f>
        <v/>
      </c>
      <c r="M434" s="15" t="str">
        <f aca="false">IF(NOT(COUNTA($A434:$H434)&gt;0),"",IF(D434="","Missing category. ",IF(COUNTIF(Settings!$B$11:$B$40,D434)=0,"Category not in your list. ","")))</f>
        <v/>
      </c>
      <c r="N434" s="15" t="str">
        <f aca="false">IF(AND(ISNUMBER(A434),ISNUMBER(E434),B434&lt;&gt;""),IF(COUNTIFS($A$6:$A$505,A434,$B$6:$B$505,B434,$E$6:$E$505,E434)&gt;1,"Possible duplicate. ",""),"")</f>
        <v/>
      </c>
      <c r="O434" s="15" t="str">
        <f aca="false">IF(AND(ISNUMBER(E434),E434&gt;=Settings!$B$6,G434&lt;&gt;"Yes"),"Receipt not marked as saved. ","")</f>
        <v/>
      </c>
      <c r="P434" s="15" t="str">
        <f aca="false">IF(AND(ISNUMBER(E434),E434&gt;=Settings!$B$5),"Large amount: review. ","")</f>
        <v/>
      </c>
    </row>
    <row r="435" customFormat="false" ht="15" hidden="false" customHeight="false" outlineLevel="0" collapsed="false">
      <c r="A435" s="10"/>
      <c r="B435" s="11"/>
      <c r="C435" s="11"/>
      <c r="D435" s="11"/>
      <c r="E435" s="12"/>
      <c r="F435" s="11"/>
      <c r="G435" s="11"/>
      <c r="H435" s="11"/>
      <c r="I435" s="13" t="str">
        <f aca="false">IF(NOT(COUNTA($A435:$H435)&gt;0),"",IF(K435&amp;L435&amp;M435&lt;&gt;"","ERROR",IF(N435&amp;O435&amp;P435&lt;&gt;"","CHECK","OK")))</f>
        <v/>
      </c>
      <c r="J435" s="14" t="str">
        <f aca="false">TRIM(K435&amp;L435&amp;M435&amp;N435&amp;O435&amp;P435)</f>
        <v/>
      </c>
      <c r="K435" s="15" t="str">
        <f aca="true">IF(NOT(COUNTA($A435:$H435)&gt;0),"",IF(A435="","Missing date. ",IF(NOT(ISNUMBER(A435)),"Date is not a real date. ",IF(YEAR(A435)&lt;&gt;Settings!$B$4,"Date outside tax year. ",IF(A435&gt;TODAY(),"Date is in the future. ","")))))</f>
        <v/>
      </c>
      <c r="L435" s="15" t="str">
        <f aca="false">IF(NOT(COUNTA($A435:$H435)&gt;0),"",IF(E435="","Missing amount. ",IF(NOT(ISNUMBER(E435)),"Amount is not a number. ",IF(E435&lt;=0,"Amount must be above zero. ",""))))</f>
        <v/>
      </c>
      <c r="M435" s="15" t="str">
        <f aca="false">IF(NOT(COUNTA($A435:$H435)&gt;0),"",IF(D435="","Missing category. ",IF(COUNTIF(Settings!$B$11:$B$40,D435)=0,"Category not in your list. ","")))</f>
        <v/>
      </c>
      <c r="N435" s="15" t="str">
        <f aca="false">IF(AND(ISNUMBER(A435),ISNUMBER(E435),B435&lt;&gt;""),IF(COUNTIFS($A$6:$A$505,A435,$B$6:$B$505,B435,$E$6:$E$505,E435)&gt;1,"Possible duplicate. ",""),"")</f>
        <v/>
      </c>
      <c r="O435" s="15" t="str">
        <f aca="false">IF(AND(ISNUMBER(E435),E435&gt;=Settings!$B$6,G435&lt;&gt;"Yes"),"Receipt not marked as saved. ","")</f>
        <v/>
      </c>
      <c r="P435" s="15" t="str">
        <f aca="false">IF(AND(ISNUMBER(E435),E435&gt;=Settings!$B$5),"Large amount: review. ","")</f>
        <v/>
      </c>
    </row>
    <row r="436" customFormat="false" ht="15" hidden="false" customHeight="false" outlineLevel="0" collapsed="false">
      <c r="A436" s="10"/>
      <c r="B436" s="11"/>
      <c r="C436" s="11"/>
      <c r="D436" s="11"/>
      <c r="E436" s="12"/>
      <c r="F436" s="11"/>
      <c r="G436" s="11"/>
      <c r="H436" s="11"/>
      <c r="I436" s="13" t="str">
        <f aca="false">IF(NOT(COUNTA($A436:$H436)&gt;0),"",IF(K436&amp;L436&amp;M436&lt;&gt;"","ERROR",IF(N436&amp;O436&amp;P436&lt;&gt;"","CHECK","OK")))</f>
        <v/>
      </c>
      <c r="J436" s="14" t="str">
        <f aca="false">TRIM(K436&amp;L436&amp;M436&amp;N436&amp;O436&amp;P436)</f>
        <v/>
      </c>
      <c r="K436" s="15" t="str">
        <f aca="true">IF(NOT(COUNTA($A436:$H436)&gt;0),"",IF(A436="","Missing date. ",IF(NOT(ISNUMBER(A436)),"Date is not a real date. ",IF(YEAR(A436)&lt;&gt;Settings!$B$4,"Date outside tax year. ",IF(A436&gt;TODAY(),"Date is in the future. ","")))))</f>
        <v/>
      </c>
      <c r="L436" s="15" t="str">
        <f aca="false">IF(NOT(COUNTA($A436:$H436)&gt;0),"",IF(E436="","Missing amount. ",IF(NOT(ISNUMBER(E436)),"Amount is not a number. ",IF(E436&lt;=0,"Amount must be above zero. ",""))))</f>
        <v/>
      </c>
      <c r="M436" s="15" t="str">
        <f aca="false">IF(NOT(COUNTA($A436:$H436)&gt;0),"",IF(D436="","Missing category. ",IF(COUNTIF(Settings!$B$11:$B$40,D436)=0,"Category not in your list. ","")))</f>
        <v/>
      </c>
      <c r="N436" s="15" t="str">
        <f aca="false">IF(AND(ISNUMBER(A436),ISNUMBER(E436),B436&lt;&gt;""),IF(COUNTIFS($A$6:$A$505,A436,$B$6:$B$505,B436,$E$6:$E$505,E436)&gt;1,"Possible duplicate. ",""),"")</f>
        <v/>
      </c>
      <c r="O436" s="15" t="str">
        <f aca="false">IF(AND(ISNUMBER(E436),E436&gt;=Settings!$B$6,G436&lt;&gt;"Yes"),"Receipt not marked as saved. ","")</f>
        <v/>
      </c>
      <c r="P436" s="15" t="str">
        <f aca="false">IF(AND(ISNUMBER(E436),E436&gt;=Settings!$B$5),"Large amount: review. ","")</f>
        <v/>
      </c>
    </row>
    <row r="437" customFormat="false" ht="15" hidden="false" customHeight="false" outlineLevel="0" collapsed="false">
      <c r="A437" s="10"/>
      <c r="B437" s="11"/>
      <c r="C437" s="11"/>
      <c r="D437" s="11"/>
      <c r="E437" s="12"/>
      <c r="F437" s="11"/>
      <c r="G437" s="11"/>
      <c r="H437" s="11"/>
      <c r="I437" s="13" t="str">
        <f aca="false">IF(NOT(COUNTA($A437:$H437)&gt;0),"",IF(K437&amp;L437&amp;M437&lt;&gt;"","ERROR",IF(N437&amp;O437&amp;P437&lt;&gt;"","CHECK","OK")))</f>
        <v/>
      </c>
      <c r="J437" s="14" t="str">
        <f aca="false">TRIM(K437&amp;L437&amp;M437&amp;N437&amp;O437&amp;P437)</f>
        <v/>
      </c>
      <c r="K437" s="15" t="str">
        <f aca="true">IF(NOT(COUNTA($A437:$H437)&gt;0),"",IF(A437="","Missing date. ",IF(NOT(ISNUMBER(A437)),"Date is not a real date. ",IF(YEAR(A437)&lt;&gt;Settings!$B$4,"Date outside tax year. ",IF(A437&gt;TODAY(),"Date is in the future. ","")))))</f>
        <v/>
      </c>
      <c r="L437" s="15" t="str">
        <f aca="false">IF(NOT(COUNTA($A437:$H437)&gt;0),"",IF(E437="","Missing amount. ",IF(NOT(ISNUMBER(E437)),"Amount is not a number. ",IF(E437&lt;=0,"Amount must be above zero. ",""))))</f>
        <v/>
      </c>
      <c r="M437" s="15" t="str">
        <f aca="false">IF(NOT(COUNTA($A437:$H437)&gt;0),"",IF(D437="","Missing category. ",IF(COUNTIF(Settings!$B$11:$B$40,D437)=0,"Category not in your list. ","")))</f>
        <v/>
      </c>
      <c r="N437" s="15" t="str">
        <f aca="false">IF(AND(ISNUMBER(A437),ISNUMBER(E437),B437&lt;&gt;""),IF(COUNTIFS($A$6:$A$505,A437,$B$6:$B$505,B437,$E$6:$E$505,E437)&gt;1,"Possible duplicate. ",""),"")</f>
        <v/>
      </c>
      <c r="O437" s="15" t="str">
        <f aca="false">IF(AND(ISNUMBER(E437),E437&gt;=Settings!$B$6,G437&lt;&gt;"Yes"),"Receipt not marked as saved. ","")</f>
        <v/>
      </c>
      <c r="P437" s="15" t="str">
        <f aca="false">IF(AND(ISNUMBER(E437),E437&gt;=Settings!$B$5),"Large amount: review. ","")</f>
        <v/>
      </c>
    </row>
    <row r="438" customFormat="false" ht="15" hidden="false" customHeight="false" outlineLevel="0" collapsed="false">
      <c r="A438" s="10"/>
      <c r="B438" s="11"/>
      <c r="C438" s="11"/>
      <c r="D438" s="11"/>
      <c r="E438" s="12"/>
      <c r="F438" s="11"/>
      <c r="G438" s="11"/>
      <c r="H438" s="11"/>
      <c r="I438" s="13" t="str">
        <f aca="false">IF(NOT(COUNTA($A438:$H438)&gt;0),"",IF(K438&amp;L438&amp;M438&lt;&gt;"","ERROR",IF(N438&amp;O438&amp;P438&lt;&gt;"","CHECK","OK")))</f>
        <v/>
      </c>
      <c r="J438" s="14" t="str">
        <f aca="false">TRIM(K438&amp;L438&amp;M438&amp;N438&amp;O438&amp;P438)</f>
        <v/>
      </c>
      <c r="K438" s="15" t="str">
        <f aca="true">IF(NOT(COUNTA($A438:$H438)&gt;0),"",IF(A438="","Missing date. ",IF(NOT(ISNUMBER(A438)),"Date is not a real date. ",IF(YEAR(A438)&lt;&gt;Settings!$B$4,"Date outside tax year. ",IF(A438&gt;TODAY(),"Date is in the future. ","")))))</f>
        <v/>
      </c>
      <c r="L438" s="15" t="str">
        <f aca="false">IF(NOT(COUNTA($A438:$H438)&gt;0),"",IF(E438="","Missing amount. ",IF(NOT(ISNUMBER(E438)),"Amount is not a number. ",IF(E438&lt;=0,"Amount must be above zero. ",""))))</f>
        <v/>
      </c>
      <c r="M438" s="15" t="str">
        <f aca="false">IF(NOT(COUNTA($A438:$H438)&gt;0),"",IF(D438="","Missing category. ",IF(COUNTIF(Settings!$B$11:$B$40,D438)=0,"Category not in your list. ","")))</f>
        <v/>
      </c>
      <c r="N438" s="15" t="str">
        <f aca="false">IF(AND(ISNUMBER(A438),ISNUMBER(E438),B438&lt;&gt;""),IF(COUNTIFS($A$6:$A$505,A438,$B$6:$B$505,B438,$E$6:$E$505,E438)&gt;1,"Possible duplicate. ",""),"")</f>
        <v/>
      </c>
      <c r="O438" s="15" t="str">
        <f aca="false">IF(AND(ISNUMBER(E438),E438&gt;=Settings!$B$6,G438&lt;&gt;"Yes"),"Receipt not marked as saved. ","")</f>
        <v/>
      </c>
      <c r="P438" s="15" t="str">
        <f aca="false">IF(AND(ISNUMBER(E438),E438&gt;=Settings!$B$5),"Large amount: review. ","")</f>
        <v/>
      </c>
    </row>
    <row r="439" customFormat="false" ht="15" hidden="false" customHeight="false" outlineLevel="0" collapsed="false">
      <c r="A439" s="10"/>
      <c r="B439" s="11"/>
      <c r="C439" s="11"/>
      <c r="D439" s="11"/>
      <c r="E439" s="12"/>
      <c r="F439" s="11"/>
      <c r="G439" s="11"/>
      <c r="H439" s="11"/>
      <c r="I439" s="13" t="str">
        <f aca="false">IF(NOT(COUNTA($A439:$H439)&gt;0),"",IF(K439&amp;L439&amp;M439&lt;&gt;"","ERROR",IF(N439&amp;O439&amp;P439&lt;&gt;"","CHECK","OK")))</f>
        <v/>
      </c>
      <c r="J439" s="14" t="str">
        <f aca="false">TRIM(K439&amp;L439&amp;M439&amp;N439&amp;O439&amp;P439)</f>
        <v/>
      </c>
      <c r="K439" s="15" t="str">
        <f aca="true">IF(NOT(COUNTA($A439:$H439)&gt;0),"",IF(A439="","Missing date. ",IF(NOT(ISNUMBER(A439)),"Date is not a real date. ",IF(YEAR(A439)&lt;&gt;Settings!$B$4,"Date outside tax year. ",IF(A439&gt;TODAY(),"Date is in the future. ","")))))</f>
        <v/>
      </c>
      <c r="L439" s="15" t="str">
        <f aca="false">IF(NOT(COUNTA($A439:$H439)&gt;0),"",IF(E439="","Missing amount. ",IF(NOT(ISNUMBER(E439)),"Amount is not a number. ",IF(E439&lt;=0,"Amount must be above zero. ",""))))</f>
        <v/>
      </c>
      <c r="M439" s="15" t="str">
        <f aca="false">IF(NOT(COUNTA($A439:$H439)&gt;0),"",IF(D439="","Missing category. ",IF(COUNTIF(Settings!$B$11:$B$40,D439)=0,"Category not in your list. ","")))</f>
        <v/>
      </c>
      <c r="N439" s="15" t="str">
        <f aca="false">IF(AND(ISNUMBER(A439),ISNUMBER(E439),B439&lt;&gt;""),IF(COUNTIFS($A$6:$A$505,A439,$B$6:$B$505,B439,$E$6:$E$505,E439)&gt;1,"Possible duplicate. ",""),"")</f>
        <v/>
      </c>
      <c r="O439" s="15" t="str">
        <f aca="false">IF(AND(ISNUMBER(E439),E439&gt;=Settings!$B$6,G439&lt;&gt;"Yes"),"Receipt not marked as saved. ","")</f>
        <v/>
      </c>
      <c r="P439" s="15" t="str">
        <f aca="false">IF(AND(ISNUMBER(E439),E439&gt;=Settings!$B$5),"Large amount: review. ","")</f>
        <v/>
      </c>
    </row>
    <row r="440" customFormat="false" ht="15" hidden="false" customHeight="false" outlineLevel="0" collapsed="false">
      <c r="A440" s="10"/>
      <c r="B440" s="11"/>
      <c r="C440" s="11"/>
      <c r="D440" s="11"/>
      <c r="E440" s="12"/>
      <c r="F440" s="11"/>
      <c r="G440" s="11"/>
      <c r="H440" s="11"/>
      <c r="I440" s="13" t="str">
        <f aca="false">IF(NOT(COUNTA($A440:$H440)&gt;0),"",IF(K440&amp;L440&amp;M440&lt;&gt;"","ERROR",IF(N440&amp;O440&amp;P440&lt;&gt;"","CHECK","OK")))</f>
        <v/>
      </c>
      <c r="J440" s="14" t="str">
        <f aca="false">TRIM(K440&amp;L440&amp;M440&amp;N440&amp;O440&amp;P440)</f>
        <v/>
      </c>
      <c r="K440" s="15" t="str">
        <f aca="true">IF(NOT(COUNTA($A440:$H440)&gt;0),"",IF(A440="","Missing date. ",IF(NOT(ISNUMBER(A440)),"Date is not a real date. ",IF(YEAR(A440)&lt;&gt;Settings!$B$4,"Date outside tax year. ",IF(A440&gt;TODAY(),"Date is in the future. ","")))))</f>
        <v/>
      </c>
      <c r="L440" s="15" t="str">
        <f aca="false">IF(NOT(COUNTA($A440:$H440)&gt;0),"",IF(E440="","Missing amount. ",IF(NOT(ISNUMBER(E440)),"Amount is not a number. ",IF(E440&lt;=0,"Amount must be above zero. ",""))))</f>
        <v/>
      </c>
      <c r="M440" s="15" t="str">
        <f aca="false">IF(NOT(COUNTA($A440:$H440)&gt;0),"",IF(D440="","Missing category. ",IF(COUNTIF(Settings!$B$11:$B$40,D440)=0,"Category not in your list. ","")))</f>
        <v/>
      </c>
      <c r="N440" s="15" t="str">
        <f aca="false">IF(AND(ISNUMBER(A440),ISNUMBER(E440),B440&lt;&gt;""),IF(COUNTIFS($A$6:$A$505,A440,$B$6:$B$505,B440,$E$6:$E$505,E440)&gt;1,"Possible duplicate. ",""),"")</f>
        <v/>
      </c>
      <c r="O440" s="15" t="str">
        <f aca="false">IF(AND(ISNUMBER(E440),E440&gt;=Settings!$B$6,G440&lt;&gt;"Yes"),"Receipt not marked as saved. ","")</f>
        <v/>
      </c>
      <c r="P440" s="15" t="str">
        <f aca="false">IF(AND(ISNUMBER(E440),E440&gt;=Settings!$B$5),"Large amount: review. ","")</f>
        <v/>
      </c>
    </row>
    <row r="441" customFormat="false" ht="15" hidden="false" customHeight="false" outlineLevel="0" collapsed="false">
      <c r="A441" s="10"/>
      <c r="B441" s="11"/>
      <c r="C441" s="11"/>
      <c r="D441" s="11"/>
      <c r="E441" s="12"/>
      <c r="F441" s="11"/>
      <c r="G441" s="11"/>
      <c r="H441" s="11"/>
      <c r="I441" s="13" t="str">
        <f aca="false">IF(NOT(COUNTA($A441:$H441)&gt;0),"",IF(K441&amp;L441&amp;M441&lt;&gt;"","ERROR",IF(N441&amp;O441&amp;P441&lt;&gt;"","CHECK","OK")))</f>
        <v/>
      </c>
      <c r="J441" s="14" t="str">
        <f aca="false">TRIM(K441&amp;L441&amp;M441&amp;N441&amp;O441&amp;P441)</f>
        <v/>
      </c>
      <c r="K441" s="15" t="str">
        <f aca="true">IF(NOT(COUNTA($A441:$H441)&gt;0),"",IF(A441="","Missing date. ",IF(NOT(ISNUMBER(A441)),"Date is not a real date. ",IF(YEAR(A441)&lt;&gt;Settings!$B$4,"Date outside tax year. ",IF(A441&gt;TODAY(),"Date is in the future. ","")))))</f>
        <v/>
      </c>
      <c r="L441" s="15" t="str">
        <f aca="false">IF(NOT(COUNTA($A441:$H441)&gt;0),"",IF(E441="","Missing amount. ",IF(NOT(ISNUMBER(E441)),"Amount is not a number. ",IF(E441&lt;=0,"Amount must be above zero. ",""))))</f>
        <v/>
      </c>
      <c r="M441" s="15" t="str">
        <f aca="false">IF(NOT(COUNTA($A441:$H441)&gt;0),"",IF(D441="","Missing category. ",IF(COUNTIF(Settings!$B$11:$B$40,D441)=0,"Category not in your list. ","")))</f>
        <v/>
      </c>
      <c r="N441" s="15" t="str">
        <f aca="false">IF(AND(ISNUMBER(A441),ISNUMBER(E441),B441&lt;&gt;""),IF(COUNTIFS($A$6:$A$505,A441,$B$6:$B$505,B441,$E$6:$E$505,E441)&gt;1,"Possible duplicate. ",""),"")</f>
        <v/>
      </c>
      <c r="O441" s="15" t="str">
        <f aca="false">IF(AND(ISNUMBER(E441),E441&gt;=Settings!$B$6,G441&lt;&gt;"Yes"),"Receipt not marked as saved. ","")</f>
        <v/>
      </c>
      <c r="P441" s="15" t="str">
        <f aca="false">IF(AND(ISNUMBER(E441),E441&gt;=Settings!$B$5),"Large amount: review. ","")</f>
        <v/>
      </c>
    </row>
    <row r="442" customFormat="false" ht="15" hidden="false" customHeight="false" outlineLevel="0" collapsed="false">
      <c r="A442" s="10"/>
      <c r="B442" s="11"/>
      <c r="C442" s="11"/>
      <c r="D442" s="11"/>
      <c r="E442" s="12"/>
      <c r="F442" s="11"/>
      <c r="G442" s="11"/>
      <c r="H442" s="11"/>
      <c r="I442" s="13" t="str">
        <f aca="false">IF(NOT(COUNTA($A442:$H442)&gt;0),"",IF(K442&amp;L442&amp;M442&lt;&gt;"","ERROR",IF(N442&amp;O442&amp;P442&lt;&gt;"","CHECK","OK")))</f>
        <v/>
      </c>
      <c r="J442" s="14" t="str">
        <f aca="false">TRIM(K442&amp;L442&amp;M442&amp;N442&amp;O442&amp;P442)</f>
        <v/>
      </c>
      <c r="K442" s="15" t="str">
        <f aca="true">IF(NOT(COUNTA($A442:$H442)&gt;0),"",IF(A442="","Missing date. ",IF(NOT(ISNUMBER(A442)),"Date is not a real date. ",IF(YEAR(A442)&lt;&gt;Settings!$B$4,"Date outside tax year. ",IF(A442&gt;TODAY(),"Date is in the future. ","")))))</f>
        <v/>
      </c>
      <c r="L442" s="15" t="str">
        <f aca="false">IF(NOT(COUNTA($A442:$H442)&gt;0),"",IF(E442="","Missing amount. ",IF(NOT(ISNUMBER(E442)),"Amount is not a number. ",IF(E442&lt;=0,"Amount must be above zero. ",""))))</f>
        <v/>
      </c>
      <c r="M442" s="15" t="str">
        <f aca="false">IF(NOT(COUNTA($A442:$H442)&gt;0),"",IF(D442="","Missing category. ",IF(COUNTIF(Settings!$B$11:$B$40,D442)=0,"Category not in your list. ","")))</f>
        <v/>
      </c>
      <c r="N442" s="15" t="str">
        <f aca="false">IF(AND(ISNUMBER(A442),ISNUMBER(E442),B442&lt;&gt;""),IF(COUNTIFS($A$6:$A$505,A442,$B$6:$B$505,B442,$E$6:$E$505,E442)&gt;1,"Possible duplicate. ",""),"")</f>
        <v/>
      </c>
      <c r="O442" s="15" t="str">
        <f aca="false">IF(AND(ISNUMBER(E442),E442&gt;=Settings!$B$6,G442&lt;&gt;"Yes"),"Receipt not marked as saved. ","")</f>
        <v/>
      </c>
      <c r="P442" s="15" t="str">
        <f aca="false">IF(AND(ISNUMBER(E442),E442&gt;=Settings!$B$5),"Large amount: review. ","")</f>
        <v/>
      </c>
    </row>
    <row r="443" customFormat="false" ht="15" hidden="false" customHeight="false" outlineLevel="0" collapsed="false">
      <c r="A443" s="10"/>
      <c r="B443" s="11"/>
      <c r="C443" s="11"/>
      <c r="D443" s="11"/>
      <c r="E443" s="12"/>
      <c r="F443" s="11"/>
      <c r="G443" s="11"/>
      <c r="H443" s="11"/>
      <c r="I443" s="13" t="str">
        <f aca="false">IF(NOT(COUNTA($A443:$H443)&gt;0),"",IF(K443&amp;L443&amp;M443&lt;&gt;"","ERROR",IF(N443&amp;O443&amp;P443&lt;&gt;"","CHECK","OK")))</f>
        <v/>
      </c>
      <c r="J443" s="14" t="str">
        <f aca="false">TRIM(K443&amp;L443&amp;M443&amp;N443&amp;O443&amp;P443)</f>
        <v/>
      </c>
      <c r="K443" s="15" t="str">
        <f aca="true">IF(NOT(COUNTA($A443:$H443)&gt;0),"",IF(A443="","Missing date. ",IF(NOT(ISNUMBER(A443)),"Date is not a real date. ",IF(YEAR(A443)&lt;&gt;Settings!$B$4,"Date outside tax year. ",IF(A443&gt;TODAY(),"Date is in the future. ","")))))</f>
        <v/>
      </c>
      <c r="L443" s="15" t="str">
        <f aca="false">IF(NOT(COUNTA($A443:$H443)&gt;0),"",IF(E443="","Missing amount. ",IF(NOT(ISNUMBER(E443)),"Amount is not a number. ",IF(E443&lt;=0,"Amount must be above zero. ",""))))</f>
        <v/>
      </c>
      <c r="M443" s="15" t="str">
        <f aca="false">IF(NOT(COUNTA($A443:$H443)&gt;0),"",IF(D443="","Missing category. ",IF(COUNTIF(Settings!$B$11:$B$40,D443)=0,"Category not in your list. ","")))</f>
        <v/>
      </c>
      <c r="N443" s="15" t="str">
        <f aca="false">IF(AND(ISNUMBER(A443),ISNUMBER(E443),B443&lt;&gt;""),IF(COUNTIFS($A$6:$A$505,A443,$B$6:$B$505,B443,$E$6:$E$505,E443)&gt;1,"Possible duplicate. ",""),"")</f>
        <v/>
      </c>
      <c r="O443" s="15" t="str">
        <f aca="false">IF(AND(ISNUMBER(E443),E443&gt;=Settings!$B$6,G443&lt;&gt;"Yes"),"Receipt not marked as saved. ","")</f>
        <v/>
      </c>
      <c r="P443" s="15" t="str">
        <f aca="false">IF(AND(ISNUMBER(E443),E443&gt;=Settings!$B$5),"Large amount: review. ","")</f>
        <v/>
      </c>
    </row>
    <row r="444" customFormat="false" ht="15" hidden="false" customHeight="false" outlineLevel="0" collapsed="false">
      <c r="A444" s="10"/>
      <c r="B444" s="11"/>
      <c r="C444" s="11"/>
      <c r="D444" s="11"/>
      <c r="E444" s="12"/>
      <c r="F444" s="11"/>
      <c r="G444" s="11"/>
      <c r="H444" s="11"/>
      <c r="I444" s="13" t="str">
        <f aca="false">IF(NOT(COUNTA($A444:$H444)&gt;0),"",IF(K444&amp;L444&amp;M444&lt;&gt;"","ERROR",IF(N444&amp;O444&amp;P444&lt;&gt;"","CHECK","OK")))</f>
        <v/>
      </c>
      <c r="J444" s="14" t="str">
        <f aca="false">TRIM(K444&amp;L444&amp;M444&amp;N444&amp;O444&amp;P444)</f>
        <v/>
      </c>
      <c r="K444" s="15" t="str">
        <f aca="true">IF(NOT(COUNTA($A444:$H444)&gt;0),"",IF(A444="","Missing date. ",IF(NOT(ISNUMBER(A444)),"Date is not a real date. ",IF(YEAR(A444)&lt;&gt;Settings!$B$4,"Date outside tax year. ",IF(A444&gt;TODAY(),"Date is in the future. ","")))))</f>
        <v/>
      </c>
      <c r="L444" s="15" t="str">
        <f aca="false">IF(NOT(COUNTA($A444:$H444)&gt;0),"",IF(E444="","Missing amount. ",IF(NOT(ISNUMBER(E444)),"Amount is not a number. ",IF(E444&lt;=0,"Amount must be above zero. ",""))))</f>
        <v/>
      </c>
      <c r="M444" s="15" t="str">
        <f aca="false">IF(NOT(COUNTA($A444:$H444)&gt;0),"",IF(D444="","Missing category. ",IF(COUNTIF(Settings!$B$11:$B$40,D444)=0,"Category not in your list. ","")))</f>
        <v/>
      </c>
      <c r="N444" s="15" t="str">
        <f aca="false">IF(AND(ISNUMBER(A444),ISNUMBER(E444),B444&lt;&gt;""),IF(COUNTIFS($A$6:$A$505,A444,$B$6:$B$505,B444,$E$6:$E$505,E444)&gt;1,"Possible duplicate. ",""),"")</f>
        <v/>
      </c>
      <c r="O444" s="15" t="str">
        <f aca="false">IF(AND(ISNUMBER(E444),E444&gt;=Settings!$B$6,G444&lt;&gt;"Yes"),"Receipt not marked as saved. ","")</f>
        <v/>
      </c>
      <c r="P444" s="15" t="str">
        <f aca="false">IF(AND(ISNUMBER(E444),E444&gt;=Settings!$B$5),"Large amount: review. ","")</f>
        <v/>
      </c>
    </row>
    <row r="445" customFormat="false" ht="15" hidden="false" customHeight="false" outlineLevel="0" collapsed="false">
      <c r="A445" s="10"/>
      <c r="B445" s="11"/>
      <c r="C445" s="11"/>
      <c r="D445" s="11"/>
      <c r="E445" s="12"/>
      <c r="F445" s="11"/>
      <c r="G445" s="11"/>
      <c r="H445" s="11"/>
      <c r="I445" s="13" t="str">
        <f aca="false">IF(NOT(COUNTA($A445:$H445)&gt;0),"",IF(K445&amp;L445&amp;M445&lt;&gt;"","ERROR",IF(N445&amp;O445&amp;P445&lt;&gt;"","CHECK","OK")))</f>
        <v/>
      </c>
      <c r="J445" s="14" t="str">
        <f aca="false">TRIM(K445&amp;L445&amp;M445&amp;N445&amp;O445&amp;P445)</f>
        <v/>
      </c>
      <c r="K445" s="15" t="str">
        <f aca="true">IF(NOT(COUNTA($A445:$H445)&gt;0),"",IF(A445="","Missing date. ",IF(NOT(ISNUMBER(A445)),"Date is not a real date. ",IF(YEAR(A445)&lt;&gt;Settings!$B$4,"Date outside tax year. ",IF(A445&gt;TODAY(),"Date is in the future. ","")))))</f>
        <v/>
      </c>
      <c r="L445" s="15" t="str">
        <f aca="false">IF(NOT(COUNTA($A445:$H445)&gt;0),"",IF(E445="","Missing amount. ",IF(NOT(ISNUMBER(E445)),"Amount is not a number. ",IF(E445&lt;=0,"Amount must be above zero. ",""))))</f>
        <v/>
      </c>
      <c r="M445" s="15" t="str">
        <f aca="false">IF(NOT(COUNTA($A445:$H445)&gt;0),"",IF(D445="","Missing category. ",IF(COUNTIF(Settings!$B$11:$B$40,D445)=0,"Category not in your list. ","")))</f>
        <v/>
      </c>
      <c r="N445" s="15" t="str">
        <f aca="false">IF(AND(ISNUMBER(A445),ISNUMBER(E445),B445&lt;&gt;""),IF(COUNTIFS($A$6:$A$505,A445,$B$6:$B$505,B445,$E$6:$E$505,E445)&gt;1,"Possible duplicate. ",""),"")</f>
        <v/>
      </c>
      <c r="O445" s="15" t="str">
        <f aca="false">IF(AND(ISNUMBER(E445),E445&gt;=Settings!$B$6,G445&lt;&gt;"Yes"),"Receipt not marked as saved. ","")</f>
        <v/>
      </c>
      <c r="P445" s="15" t="str">
        <f aca="false">IF(AND(ISNUMBER(E445),E445&gt;=Settings!$B$5),"Large amount: review. ","")</f>
        <v/>
      </c>
    </row>
    <row r="446" customFormat="false" ht="15" hidden="false" customHeight="false" outlineLevel="0" collapsed="false">
      <c r="A446" s="10"/>
      <c r="B446" s="11"/>
      <c r="C446" s="11"/>
      <c r="D446" s="11"/>
      <c r="E446" s="12"/>
      <c r="F446" s="11"/>
      <c r="G446" s="11"/>
      <c r="H446" s="11"/>
      <c r="I446" s="13" t="str">
        <f aca="false">IF(NOT(COUNTA($A446:$H446)&gt;0),"",IF(K446&amp;L446&amp;M446&lt;&gt;"","ERROR",IF(N446&amp;O446&amp;P446&lt;&gt;"","CHECK","OK")))</f>
        <v/>
      </c>
      <c r="J446" s="14" t="str">
        <f aca="false">TRIM(K446&amp;L446&amp;M446&amp;N446&amp;O446&amp;P446)</f>
        <v/>
      </c>
      <c r="K446" s="15" t="str">
        <f aca="true">IF(NOT(COUNTA($A446:$H446)&gt;0),"",IF(A446="","Missing date. ",IF(NOT(ISNUMBER(A446)),"Date is not a real date. ",IF(YEAR(A446)&lt;&gt;Settings!$B$4,"Date outside tax year. ",IF(A446&gt;TODAY(),"Date is in the future. ","")))))</f>
        <v/>
      </c>
      <c r="L446" s="15" t="str">
        <f aca="false">IF(NOT(COUNTA($A446:$H446)&gt;0),"",IF(E446="","Missing amount. ",IF(NOT(ISNUMBER(E446)),"Amount is not a number. ",IF(E446&lt;=0,"Amount must be above zero. ",""))))</f>
        <v/>
      </c>
      <c r="M446" s="15" t="str">
        <f aca="false">IF(NOT(COUNTA($A446:$H446)&gt;0),"",IF(D446="","Missing category. ",IF(COUNTIF(Settings!$B$11:$B$40,D446)=0,"Category not in your list. ","")))</f>
        <v/>
      </c>
      <c r="N446" s="15" t="str">
        <f aca="false">IF(AND(ISNUMBER(A446),ISNUMBER(E446),B446&lt;&gt;""),IF(COUNTIFS($A$6:$A$505,A446,$B$6:$B$505,B446,$E$6:$E$505,E446)&gt;1,"Possible duplicate. ",""),"")</f>
        <v/>
      </c>
      <c r="O446" s="15" t="str">
        <f aca="false">IF(AND(ISNUMBER(E446),E446&gt;=Settings!$B$6,G446&lt;&gt;"Yes"),"Receipt not marked as saved. ","")</f>
        <v/>
      </c>
      <c r="P446" s="15" t="str">
        <f aca="false">IF(AND(ISNUMBER(E446),E446&gt;=Settings!$B$5),"Large amount: review. ","")</f>
        <v/>
      </c>
    </row>
    <row r="447" customFormat="false" ht="15" hidden="false" customHeight="false" outlineLevel="0" collapsed="false">
      <c r="A447" s="10"/>
      <c r="B447" s="11"/>
      <c r="C447" s="11"/>
      <c r="D447" s="11"/>
      <c r="E447" s="12"/>
      <c r="F447" s="11"/>
      <c r="G447" s="11"/>
      <c r="H447" s="11"/>
      <c r="I447" s="13" t="str">
        <f aca="false">IF(NOT(COUNTA($A447:$H447)&gt;0),"",IF(K447&amp;L447&amp;M447&lt;&gt;"","ERROR",IF(N447&amp;O447&amp;P447&lt;&gt;"","CHECK","OK")))</f>
        <v/>
      </c>
      <c r="J447" s="14" t="str">
        <f aca="false">TRIM(K447&amp;L447&amp;M447&amp;N447&amp;O447&amp;P447)</f>
        <v/>
      </c>
      <c r="K447" s="15" t="str">
        <f aca="true">IF(NOT(COUNTA($A447:$H447)&gt;0),"",IF(A447="","Missing date. ",IF(NOT(ISNUMBER(A447)),"Date is not a real date. ",IF(YEAR(A447)&lt;&gt;Settings!$B$4,"Date outside tax year. ",IF(A447&gt;TODAY(),"Date is in the future. ","")))))</f>
        <v/>
      </c>
      <c r="L447" s="15" t="str">
        <f aca="false">IF(NOT(COUNTA($A447:$H447)&gt;0),"",IF(E447="","Missing amount. ",IF(NOT(ISNUMBER(E447)),"Amount is not a number. ",IF(E447&lt;=0,"Amount must be above zero. ",""))))</f>
        <v/>
      </c>
      <c r="M447" s="15" t="str">
        <f aca="false">IF(NOT(COUNTA($A447:$H447)&gt;0),"",IF(D447="","Missing category. ",IF(COUNTIF(Settings!$B$11:$B$40,D447)=0,"Category not in your list. ","")))</f>
        <v/>
      </c>
      <c r="N447" s="15" t="str">
        <f aca="false">IF(AND(ISNUMBER(A447),ISNUMBER(E447),B447&lt;&gt;""),IF(COUNTIFS($A$6:$A$505,A447,$B$6:$B$505,B447,$E$6:$E$505,E447)&gt;1,"Possible duplicate. ",""),"")</f>
        <v/>
      </c>
      <c r="O447" s="15" t="str">
        <f aca="false">IF(AND(ISNUMBER(E447),E447&gt;=Settings!$B$6,G447&lt;&gt;"Yes"),"Receipt not marked as saved. ","")</f>
        <v/>
      </c>
      <c r="P447" s="15" t="str">
        <f aca="false">IF(AND(ISNUMBER(E447),E447&gt;=Settings!$B$5),"Large amount: review. ","")</f>
        <v/>
      </c>
    </row>
    <row r="448" customFormat="false" ht="15" hidden="false" customHeight="false" outlineLevel="0" collapsed="false">
      <c r="A448" s="10"/>
      <c r="B448" s="11"/>
      <c r="C448" s="11"/>
      <c r="D448" s="11"/>
      <c r="E448" s="12"/>
      <c r="F448" s="11"/>
      <c r="G448" s="11"/>
      <c r="H448" s="11"/>
      <c r="I448" s="13" t="str">
        <f aca="false">IF(NOT(COUNTA($A448:$H448)&gt;0),"",IF(K448&amp;L448&amp;M448&lt;&gt;"","ERROR",IF(N448&amp;O448&amp;P448&lt;&gt;"","CHECK","OK")))</f>
        <v/>
      </c>
      <c r="J448" s="14" t="str">
        <f aca="false">TRIM(K448&amp;L448&amp;M448&amp;N448&amp;O448&amp;P448)</f>
        <v/>
      </c>
      <c r="K448" s="15" t="str">
        <f aca="true">IF(NOT(COUNTA($A448:$H448)&gt;0),"",IF(A448="","Missing date. ",IF(NOT(ISNUMBER(A448)),"Date is not a real date. ",IF(YEAR(A448)&lt;&gt;Settings!$B$4,"Date outside tax year. ",IF(A448&gt;TODAY(),"Date is in the future. ","")))))</f>
        <v/>
      </c>
      <c r="L448" s="15" t="str">
        <f aca="false">IF(NOT(COUNTA($A448:$H448)&gt;0),"",IF(E448="","Missing amount. ",IF(NOT(ISNUMBER(E448)),"Amount is not a number. ",IF(E448&lt;=0,"Amount must be above zero. ",""))))</f>
        <v/>
      </c>
      <c r="M448" s="15" t="str">
        <f aca="false">IF(NOT(COUNTA($A448:$H448)&gt;0),"",IF(D448="","Missing category. ",IF(COUNTIF(Settings!$B$11:$B$40,D448)=0,"Category not in your list. ","")))</f>
        <v/>
      </c>
      <c r="N448" s="15" t="str">
        <f aca="false">IF(AND(ISNUMBER(A448),ISNUMBER(E448),B448&lt;&gt;""),IF(COUNTIFS($A$6:$A$505,A448,$B$6:$B$505,B448,$E$6:$E$505,E448)&gt;1,"Possible duplicate. ",""),"")</f>
        <v/>
      </c>
      <c r="O448" s="15" t="str">
        <f aca="false">IF(AND(ISNUMBER(E448),E448&gt;=Settings!$B$6,G448&lt;&gt;"Yes"),"Receipt not marked as saved. ","")</f>
        <v/>
      </c>
      <c r="P448" s="15" t="str">
        <f aca="false">IF(AND(ISNUMBER(E448),E448&gt;=Settings!$B$5),"Large amount: review. ","")</f>
        <v/>
      </c>
    </row>
    <row r="449" customFormat="false" ht="15" hidden="false" customHeight="false" outlineLevel="0" collapsed="false">
      <c r="A449" s="10"/>
      <c r="B449" s="11"/>
      <c r="C449" s="11"/>
      <c r="D449" s="11"/>
      <c r="E449" s="12"/>
      <c r="F449" s="11"/>
      <c r="G449" s="11"/>
      <c r="H449" s="11"/>
      <c r="I449" s="13" t="str">
        <f aca="false">IF(NOT(COUNTA($A449:$H449)&gt;0),"",IF(K449&amp;L449&amp;M449&lt;&gt;"","ERROR",IF(N449&amp;O449&amp;P449&lt;&gt;"","CHECK","OK")))</f>
        <v/>
      </c>
      <c r="J449" s="14" t="str">
        <f aca="false">TRIM(K449&amp;L449&amp;M449&amp;N449&amp;O449&amp;P449)</f>
        <v/>
      </c>
      <c r="K449" s="15" t="str">
        <f aca="true">IF(NOT(COUNTA($A449:$H449)&gt;0),"",IF(A449="","Missing date. ",IF(NOT(ISNUMBER(A449)),"Date is not a real date. ",IF(YEAR(A449)&lt;&gt;Settings!$B$4,"Date outside tax year. ",IF(A449&gt;TODAY(),"Date is in the future. ","")))))</f>
        <v/>
      </c>
      <c r="L449" s="15" t="str">
        <f aca="false">IF(NOT(COUNTA($A449:$H449)&gt;0),"",IF(E449="","Missing amount. ",IF(NOT(ISNUMBER(E449)),"Amount is not a number. ",IF(E449&lt;=0,"Amount must be above zero. ",""))))</f>
        <v/>
      </c>
      <c r="M449" s="15" t="str">
        <f aca="false">IF(NOT(COUNTA($A449:$H449)&gt;0),"",IF(D449="","Missing category. ",IF(COUNTIF(Settings!$B$11:$B$40,D449)=0,"Category not in your list. ","")))</f>
        <v/>
      </c>
      <c r="N449" s="15" t="str">
        <f aca="false">IF(AND(ISNUMBER(A449),ISNUMBER(E449),B449&lt;&gt;""),IF(COUNTIFS($A$6:$A$505,A449,$B$6:$B$505,B449,$E$6:$E$505,E449)&gt;1,"Possible duplicate. ",""),"")</f>
        <v/>
      </c>
      <c r="O449" s="15" t="str">
        <f aca="false">IF(AND(ISNUMBER(E449),E449&gt;=Settings!$B$6,G449&lt;&gt;"Yes"),"Receipt not marked as saved. ","")</f>
        <v/>
      </c>
      <c r="P449" s="15" t="str">
        <f aca="false">IF(AND(ISNUMBER(E449),E449&gt;=Settings!$B$5),"Large amount: review. ","")</f>
        <v/>
      </c>
    </row>
    <row r="450" customFormat="false" ht="15" hidden="false" customHeight="false" outlineLevel="0" collapsed="false">
      <c r="A450" s="10"/>
      <c r="B450" s="11"/>
      <c r="C450" s="11"/>
      <c r="D450" s="11"/>
      <c r="E450" s="12"/>
      <c r="F450" s="11"/>
      <c r="G450" s="11"/>
      <c r="H450" s="11"/>
      <c r="I450" s="13" t="str">
        <f aca="false">IF(NOT(COUNTA($A450:$H450)&gt;0),"",IF(K450&amp;L450&amp;M450&lt;&gt;"","ERROR",IF(N450&amp;O450&amp;P450&lt;&gt;"","CHECK","OK")))</f>
        <v/>
      </c>
      <c r="J450" s="14" t="str">
        <f aca="false">TRIM(K450&amp;L450&amp;M450&amp;N450&amp;O450&amp;P450)</f>
        <v/>
      </c>
      <c r="K450" s="15" t="str">
        <f aca="true">IF(NOT(COUNTA($A450:$H450)&gt;0),"",IF(A450="","Missing date. ",IF(NOT(ISNUMBER(A450)),"Date is not a real date. ",IF(YEAR(A450)&lt;&gt;Settings!$B$4,"Date outside tax year. ",IF(A450&gt;TODAY(),"Date is in the future. ","")))))</f>
        <v/>
      </c>
      <c r="L450" s="15" t="str">
        <f aca="false">IF(NOT(COUNTA($A450:$H450)&gt;0),"",IF(E450="","Missing amount. ",IF(NOT(ISNUMBER(E450)),"Amount is not a number. ",IF(E450&lt;=0,"Amount must be above zero. ",""))))</f>
        <v/>
      </c>
      <c r="M450" s="15" t="str">
        <f aca="false">IF(NOT(COUNTA($A450:$H450)&gt;0),"",IF(D450="","Missing category. ",IF(COUNTIF(Settings!$B$11:$B$40,D450)=0,"Category not in your list. ","")))</f>
        <v/>
      </c>
      <c r="N450" s="15" t="str">
        <f aca="false">IF(AND(ISNUMBER(A450),ISNUMBER(E450),B450&lt;&gt;""),IF(COUNTIFS($A$6:$A$505,A450,$B$6:$B$505,B450,$E$6:$E$505,E450)&gt;1,"Possible duplicate. ",""),"")</f>
        <v/>
      </c>
      <c r="O450" s="15" t="str">
        <f aca="false">IF(AND(ISNUMBER(E450),E450&gt;=Settings!$B$6,G450&lt;&gt;"Yes"),"Receipt not marked as saved. ","")</f>
        <v/>
      </c>
      <c r="P450" s="15" t="str">
        <f aca="false">IF(AND(ISNUMBER(E450),E450&gt;=Settings!$B$5),"Large amount: review. ","")</f>
        <v/>
      </c>
    </row>
    <row r="451" customFormat="false" ht="15" hidden="false" customHeight="false" outlineLevel="0" collapsed="false">
      <c r="A451" s="10"/>
      <c r="B451" s="11"/>
      <c r="C451" s="11"/>
      <c r="D451" s="11"/>
      <c r="E451" s="12"/>
      <c r="F451" s="11"/>
      <c r="G451" s="11"/>
      <c r="H451" s="11"/>
      <c r="I451" s="13" t="str">
        <f aca="false">IF(NOT(COUNTA($A451:$H451)&gt;0),"",IF(K451&amp;L451&amp;M451&lt;&gt;"","ERROR",IF(N451&amp;O451&amp;P451&lt;&gt;"","CHECK","OK")))</f>
        <v/>
      </c>
      <c r="J451" s="14" t="str">
        <f aca="false">TRIM(K451&amp;L451&amp;M451&amp;N451&amp;O451&amp;P451)</f>
        <v/>
      </c>
      <c r="K451" s="15" t="str">
        <f aca="true">IF(NOT(COUNTA($A451:$H451)&gt;0),"",IF(A451="","Missing date. ",IF(NOT(ISNUMBER(A451)),"Date is not a real date. ",IF(YEAR(A451)&lt;&gt;Settings!$B$4,"Date outside tax year. ",IF(A451&gt;TODAY(),"Date is in the future. ","")))))</f>
        <v/>
      </c>
      <c r="L451" s="15" t="str">
        <f aca="false">IF(NOT(COUNTA($A451:$H451)&gt;0),"",IF(E451="","Missing amount. ",IF(NOT(ISNUMBER(E451)),"Amount is not a number. ",IF(E451&lt;=0,"Amount must be above zero. ",""))))</f>
        <v/>
      </c>
      <c r="M451" s="15" t="str">
        <f aca="false">IF(NOT(COUNTA($A451:$H451)&gt;0),"",IF(D451="","Missing category. ",IF(COUNTIF(Settings!$B$11:$B$40,D451)=0,"Category not in your list. ","")))</f>
        <v/>
      </c>
      <c r="N451" s="15" t="str">
        <f aca="false">IF(AND(ISNUMBER(A451),ISNUMBER(E451),B451&lt;&gt;""),IF(COUNTIFS($A$6:$A$505,A451,$B$6:$B$505,B451,$E$6:$E$505,E451)&gt;1,"Possible duplicate. ",""),"")</f>
        <v/>
      </c>
      <c r="O451" s="15" t="str">
        <f aca="false">IF(AND(ISNUMBER(E451),E451&gt;=Settings!$B$6,G451&lt;&gt;"Yes"),"Receipt not marked as saved. ","")</f>
        <v/>
      </c>
      <c r="P451" s="15" t="str">
        <f aca="false">IF(AND(ISNUMBER(E451),E451&gt;=Settings!$B$5),"Large amount: review. ","")</f>
        <v/>
      </c>
    </row>
    <row r="452" customFormat="false" ht="15" hidden="false" customHeight="false" outlineLevel="0" collapsed="false">
      <c r="A452" s="10"/>
      <c r="B452" s="11"/>
      <c r="C452" s="11"/>
      <c r="D452" s="11"/>
      <c r="E452" s="12"/>
      <c r="F452" s="11"/>
      <c r="G452" s="11"/>
      <c r="H452" s="11"/>
      <c r="I452" s="13" t="str">
        <f aca="false">IF(NOT(COUNTA($A452:$H452)&gt;0),"",IF(K452&amp;L452&amp;M452&lt;&gt;"","ERROR",IF(N452&amp;O452&amp;P452&lt;&gt;"","CHECK","OK")))</f>
        <v/>
      </c>
      <c r="J452" s="14" t="str">
        <f aca="false">TRIM(K452&amp;L452&amp;M452&amp;N452&amp;O452&amp;P452)</f>
        <v/>
      </c>
      <c r="K452" s="15" t="str">
        <f aca="true">IF(NOT(COUNTA($A452:$H452)&gt;0),"",IF(A452="","Missing date. ",IF(NOT(ISNUMBER(A452)),"Date is not a real date. ",IF(YEAR(A452)&lt;&gt;Settings!$B$4,"Date outside tax year. ",IF(A452&gt;TODAY(),"Date is in the future. ","")))))</f>
        <v/>
      </c>
      <c r="L452" s="15" t="str">
        <f aca="false">IF(NOT(COUNTA($A452:$H452)&gt;0),"",IF(E452="","Missing amount. ",IF(NOT(ISNUMBER(E452)),"Amount is not a number. ",IF(E452&lt;=0,"Amount must be above zero. ",""))))</f>
        <v/>
      </c>
      <c r="M452" s="15" t="str">
        <f aca="false">IF(NOT(COUNTA($A452:$H452)&gt;0),"",IF(D452="","Missing category. ",IF(COUNTIF(Settings!$B$11:$B$40,D452)=0,"Category not in your list. ","")))</f>
        <v/>
      </c>
      <c r="N452" s="15" t="str">
        <f aca="false">IF(AND(ISNUMBER(A452),ISNUMBER(E452),B452&lt;&gt;""),IF(COUNTIFS($A$6:$A$505,A452,$B$6:$B$505,B452,$E$6:$E$505,E452)&gt;1,"Possible duplicate. ",""),"")</f>
        <v/>
      </c>
      <c r="O452" s="15" t="str">
        <f aca="false">IF(AND(ISNUMBER(E452),E452&gt;=Settings!$B$6,G452&lt;&gt;"Yes"),"Receipt not marked as saved. ","")</f>
        <v/>
      </c>
      <c r="P452" s="15" t="str">
        <f aca="false">IF(AND(ISNUMBER(E452),E452&gt;=Settings!$B$5),"Large amount: review. ","")</f>
        <v/>
      </c>
    </row>
    <row r="453" customFormat="false" ht="15" hidden="false" customHeight="false" outlineLevel="0" collapsed="false">
      <c r="A453" s="10"/>
      <c r="B453" s="11"/>
      <c r="C453" s="11"/>
      <c r="D453" s="11"/>
      <c r="E453" s="12"/>
      <c r="F453" s="11"/>
      <c r="G453" s="11"/>
      <c r="H453" s="11"/>
      <c r="I453" s="13" t="str">
        <f aca="false">IF(NOT(COUNTA($A453:$H453)&gt;0),"",IF(K453&amp;L453&amp;M453&lt;&gt;"","ERROR",IF(N453&amp;O453&amp;P453&lt;&gt;"","CHECK","OK")))</f>
        <v/>
      </c>
      <c r="J453" s="14" t="str">
        <f aca="false">TRIM(K453&amp;L453&amp;M453&amp;N453&amp;O453&amp;P453)</f>
        <v/>
      </c>
      <c r="K453" s="15" t="str">
        <f aca="true">IF(NOT(COUNTA($A453:$H453)&gt;0),"",IF(A453="","Missing date. ",IF(NOT(ISNUMBER(A453)),"Date is not a real date. ",IF(YEAR(A453)&lt;&gt;Settings!$B$4,"Date outside tax year. ",IF(A453&gt;TODAY(),"Date is in the future. ","")))))</f>
        <v/>
      </c>
      <c r="L453" s="15" t="str">
        <f aca="false">IF(NOT(COUNTA($A453:$H453)&gt;0),"",IF(E453="","Missing amount. ",IF(NOT(ISNUMBER(E453)),"Amount is not a number. ",IF(E453&lt;=0,"Amount must be above zero. ",""))))</f>
        <v/>
      </c>
      <c r="M453" s="15" t="str">
        <f aca="false">IF(NOT(COUNTA($A453:$H453)&gt;0),"",IF(D453="","Missing category. ",IF(COUNTIF(Settings!$B$11:$B$40,D453)=0,"Category not in your list. ","")))</f>
        <v/>
      </c>
      <c r="N453" s="15" t="str">
        <f aca="false">IF(AND(ISNUMBER(A453),ISNUMBER(E453),B453&lt;&gt;""),IF(COUNTIFS($A$6:$A$505,A453,$B$6:$B$505,B453,$E$6:$E$505,E453)&gt;1,"Possible duplicate. ",""),"")</f>
        <v/>
      </c>
      <c r="O453" s="15" t="str">
        <f aca="false">IF(AND(ISNUMBER(E453),E453&gt;=Settings!$B$6,G453&lt;&gt;"Yes"),"Receipt not marked as saved. ","")</f>
        <v/>
      </c>
      <c r="P453" s="15" t="str">
        <f aca="false">IF(AND(ISNUMBER(E453),E453&gt;=Settings!$B$5),"Large amount: review. ","")</f>
        <v/>
      </c>
    </row>
    <row r="454" customFormat="false" ht="15" hidden="false" customHeight="false" outlineLevel="0" collapsed="false">
      <c r="A454" s="10"/>
      <c r="B454" s="11"/>
      <c r="C454" s="11"/>
      <c r="D454" s="11"/>
      <c r="E454" s="12"/>
      <c r="F454" s="11"/>
      <c r="G454" s="11"/>
      <c r="H454" s="11"/>
      <c r="I454" s="13" t="str">
        <f aca="false">IF(NOT(COUNTA($A454:$H454)&gt;0),"",IF(K454&amp;L454&amp;M454&lt;&gt;"","ERROR",IF(N454&amp;O454&amp;P454&lt;&gt;"","CHECK","OK")))</f>
        <v/>
      </c>
      <c r="J454" s="14" t="str">
        <f aca="false">TRIM(K454&amp;L454&amp;M454&amp;N454&amp;O454&amp;P454)</f>
        <v/>
      </c>
      <c r="K454" s="15" t="str">
        <f aca="true">IF(NOT(COUNTA($A454:$H454)&gt;0),"",IF(A454="","Missing date. ",IF(NOT(ISNUMBER(A454)),"Date is not a real date. ",IF(YEAR(A454)&lt;&gt;Settings!$B$4,"Date outside tax year. ",IF(A454&gt;TODAY(),"Date is in the future. ","")))))</f>
        <v/>
      </c>
      <c r="L454" s="15" t="str">
        <f aca="false">IF(NOT(COUNTA($A454:$H454)&gt;0),"",IF(E454="","Missing amount. ",IF(NOT(ISNUMBER(E454)),"Amount is not a number. ",IF(E454&lt;=0,"Amount must be above zero. ",""))))</f>
        <v/>
      </c>
      <c r="M454" s="15" t="str">
        <f aca="false">IF(NOT(COUNTA($A454:$H454)&gt;0),"",IF(D454="","Missing category. ",IF(COUNTIF(Settings!$B$11:$B$40,D454)=0,"Category not in your list. ","")))</f>
        <v/>
      </c>
      <c r="N454" s="15" t="str">
        <f aca="false">IF(AND(ISNUMBER(A454),ISNUMBER(E454),B454&lt;&gt;""),IF(COUNTIFS($A$6:$A$505,A454,$B$6:$B$505,B454,$E$6:$E$505,E454)&gt;1,"Possible duplicate. ",""),"")</f>
        <v/>
      </c>
      <c r="O454" s="15" t="str">
        <f aca="false">IF(AND(ISNUMBER(E454),E454&gt;=Settings!$B$6,G454&lt;&gt;"Yes"),"Receipt not marked as saved. ","")</f>
        <v/>
      </c>
      <c r="P454" s="15" t="str">
        <f aca="false">IF(AND(ISNUMBER(E454),E454&gt;=Settings!$B$5),"Large amount: review. ","")</f>
        <v/>
      </c>
    </row>
    <row r="455" customFormat="false" ht="15" hidden="false" customHeight="false" outlineLevel="0" collapsed="false">
      <c r="A455" s="10"/>
      <c r="B455" s="11"/>
      <c r="C455" s="11"/>
      <c r="D455" s="11"/>
      <c r="E455" s="12"/>
      <c r="F455" s="11"/>
      <c r="G455" s="11"/>
      <c r="H455" s="11"/>
      <c r="I455" s="13" t="str">
        <f aca="false">IF(NOT(COUNTA($A455:$H455)&gt;0),"",IF(K455&amp;L455&amp;M455&lt;&gt;"","ERROR",IF(N455&amp;O455&amp;P455&lt;&gt;"","CHECK","OK")))</f>
        <v/>
      </c>
      <c r="J455" s="14" t="str">
        <f aca="false">TRIM(K455&amp;L455&amp;M455&amp;N455&amp;O455&amp;P455)</f>
        <v/>
      </c>
      <c r="K455" s="15" t="str">
        <f aca="true">IF(NOT(COUNTA($A455:$H455)&gt;0),"",IF(A455="","Missing date. ",IF(NOT(ISNUMBER(A455)),"Date is not a real date. ",IF(YEAR(A455)&lt;&gt;Settings!$B$4,"Date outside tax year. ",IF(A455&gt;TODAY(),"Date is in the future. ","")))))</f>
        <v/>
      </c>
      <c r="L455" s="15" t="str">
        <f aca="false">IF(NOT(COUNTA($A455:$H455)&gt;0),"",IF(E455="","Missing amount. ",IF(NOT(ISNUMBER(E455)),"Amount is not a number. ",IF(E455&lt;=0,"Amount must be above zero. ",""))))</f>
        <v/>
      </c>
      <c r="M455" s="15" t="str">
        <f aca="false">IF(NOT(COUNTA($A455:$H455)&gt;0),"",IF(D455="","Missing category. ",IF(COUNTIF(Settings!$B$11:$B$40,D455)=0,"Category not in your list. ","")))</f>
        <v/>
      </c>
      <c r="N455" s="15" t="str">
        <f aca="false">IF(AND(ISNUMBER(A455),ISNUMBER(E455),B455&lt;&gt;""),IF(COUNTIFS($A$6:$A$505,A455,$B$6:$B$505,B455,$E$6:$E$505,E455)&gt;1,"Possible duplicate. ",""),"")</f>
        <v/>
      </c>
      <c r="O455" s="15" t="str">
        <f aca="false">IF(AND(ISNUMBER(E455),E455&gt;=Settings!$B$6,G455&lt;&gt;"Yes"),"Receipt not marked as saved. ","")</f>
        <v/>
      </c>
      <c r="P455" s="15" t="str">
        <f aca="false">IF(AND(ISNUMBER(E455),E455&gt;=Settings!$B$5),"Large amount: review. ","")</f>
        <v/>
      </c>
    </row>
    <row r="456" customFormat="false" ht="15" hidden="false" customHeight="false" outlineLevel="0" collapsed="false">
      <c r="A456" s="10"/>
      <c r="B456" s="11"/>
      <c r="C456" s="11"/>
      <c r="D456" s="11"/>
      <c r="E456" s="12"/>
      <c r="F456" s="11"/>
      <c r="G456" s="11"/>
      <c r="H456" s="11"/>
      <c r="I456" s="13" t="str">
        <f aca="false">IF(NOT(COUNTA($A456:$H456)&gt;0),"",IF(K456&amp;L456&amp;M456&lt;&gt;"","ERROR",IF(N456&amp;O456&amp;P456&lt;&gt;"","CHECK","OK")))</f>
        <v/>
      </c>
      <c r="J456" s="14" t="str">
        <f aca="false">TRIM(K456&amp;L456&amp;M456&amp;N456&amp;O456&amp;P456)</f>
        <v/>
      </c>
      <c r="K456" s="15" t="str">
        <f aca="true">IF(NOT(COUNTA($A456:$H456)&gt;0),"",IF(A456="","Missing date. ",IF(NOT(ISNUMBER(A456)),"Date is not a real date. ",IF(YEAR(A456)&lt;&gt;Settings!$B$4,"Date outside tax year. ",IF(A456&gt;TODAY(),"Date is in the future. ","")))))</f>
        <v/>
      </c>
      <c r="L456" s="15" t="str">
        <f aca="false">IF(NOT(COUNTA($A456:$H456)&gt;0),"",IF(E456="","Missing amount. ",IF(NOT(ISNUMBER(E456)),"Amount is not a number. ",IF(E456&lt;=0,"Amount must be above zero. ",""))))</f>
        <v/>
      </c>
      <c r="M456" s="15" t="str">
        <f aca="false">IF(NOT(COUNTA($A456:$H456)&gt;0),"",IF(D456="","Missing category. ",IF(COUNTIF(Settings!$B$11:$B$40,D456)=0,"Category not in your list. ","")))</f>
        <v/>
      </c>
      <c r="N456" s="15" t="str">
        <f aca="false">IF(AND(ISNUMBER(A456),ISNUMBER(E456),B456&lt;&gt;""),IF(COUNTIFS($A$6:$A$505,A456,$B$6:$B$505,B456,$E$6:$E$505,E456)&gt;1,"Possible duplicate. ",""),"")</f>
        <v/>
      </c>
      <c r="O456" s="15" t="str">
        <f aca="false">IF(AND(ISNUMBER(E456),E456&gt;=Settings!$B$6,G456&lt;&gt;"Yes"),"Receipt not marked as saved. ","")</f>
        <v/>
      </c>
      <c r="P456" s="15" t="str">
        <f aca="false">IF(AND(ISNUMBER(E456),E456&gt;=Settings!$B$5),"Large amount: review. ","")</f>
        <v/>
      </c>
    </row>
    <row r="457" customFormat="false" ht="15" hidden="false" customHeight="false" outlineLevel="0" collapsed="false">
      <c r="A457" s="10"/>
      <c r="B457" s="11"/>
      <c r="C457" s="11"/>
      <c r="D457" s="11"/>
      <c r="E457" s="12"/>
      <c r="F457" s="11"/>
      <c r="G457" s="11"/>
      <c r="H457" s="11"/>
      <c r="I457" s="13" t="str">
        <f aca="false">IF(NOT(COUNTA($A457:$H457)&gt;0),"",IF(K457&amp;L457&amp;M457&lt;&gt;"","ERROR",IF(N457&amp;O457&amp;P457&lt;&gt;"","CHECK","OK")))</f>
        <v/>
      </c>
      <c r="J457" s="14" t="str">
        <f aca="false">TRIM(K457&amp;L457&amp;M457&amp;N457&amp;O457&amp;P457)</f>
        <v/>
      </c>
      <c r="K457" s="15" t="str">
        <f aca="true">IF(NOT(COUNTA($A457:$H457)&gt;0),"",IF(A457="","Missing date. ",IF(NOT(ISNUMBER(A457)),"Date is not a real date. ",IF(YEAR(A457)&lt;&gt;Settings!$B$4,"Date outside tax year. ",IF(A457&gt;TODAY(),"Date is in the future. ","")))))</f>
        <v/>
      </c>
      <c r="L457" s="15" t="str">
        <f aca="false">IF(NOT(COUNTA($A457:$H457)&gt;0),"",IF(E457="","Missing amount. ",IF(NOT(ISNUMBER(E457)),"Amount is not a number. ",IF(E457&lt;=0,"Amount must be above zero. ",""))))</f>
        <v/>
      </c>
      <c r="M457" s="15" t="str">
        <f aca="false">IF(NOT(COUNTA($A457:$H457)&gt;0),"",IF(D457="","Missing category. ",IF(COUNTIF(Settings!$B$11:$B$40,D457)=0,"Category not in your list. ","")))</f>
        <v/>
      </c>
      <c r="N457" s="15" t="str">
        <f aca="false">IF(AND(ISNUMBER(A457),ISNUMBER(E457),B457&lt;&gt;""),IF(COUNTIFS($A$6:$A$505,A457,$B$6:$B$505,B457,$E$6:$E$505,E457)&gt;1,"Possible duplicate. ",""),"")</f>
        <v/>
      </c>
      <c r="O457" s="15" t="str">
        <f aca="false">IF(AND(ISNUMBER(E457),E457&gt;=Settings!$B$6,G457&lt;&gt;"Yes"),"Receipt not marked as saved. ","")</f>
        <v/>
      </c>
      <c r="P457" s="15" t="str">
        <f aca="false">IF(AND(ISNUMBER(E457),E457&gt;=Settings!$B$5),"Large amount: review. ","")</f>
        <v/>
      </c>
    </row>
    <row r="458" customFormat="false" ht="15" hidden="false" customHeight="false" outlineLevel="0" collapsed="false">
      <c r="A458" s="10"/>
      <c r="B458" s="11"/>
      <c r="C458" s="11"/>
      <c r="D458" s="11"/>
      <c r="E458" s="12"/>
      <c r="F458" s="11"/>
      <c r="G458" s="11"/>
      <c r="H458" s="11"/>
      <c r="I458" s="13" t="str">
        <f aca="false">IF(NOT(COUNTA($A458:$H458)&gt;0),"",IF(K458&amp;L458&amp;M458&lt;&gt;"","ERROR",IF(N458&amp;O458&amp;P458&lt;&gt;"","CHECK","OK")))</f>
        <v/>
      </c>
      <c r="J458" s="14" t="str">
        <f aca="false">TRIM(K458&amp;L458&amp;M458&amp;N458&amp;O458&amp;P458)</f>
        <v/>
      </c>
      <c r="K458" s="15" t="str">
        <f aca="true">IF(NOT(COUNTA($A458:$H458)&gt;0),"",IF(A458="","Missing date. ",IF(NOT(ISNUMBER(A458)),"Date is not a real date. ",IF(YEAR(A458)&lt;&gt;Settings!$B$4,"Date outside tax year. ",IF(A458&gt;TODAY(),"Date is in the future. ","")))))</f>
        <v/>
      </c>
      <c r="L458" s="15" t="str">
        <f aca="false">IF(NOT(COUNTA($A458:$H458)&gt;0),"",IF(E458="","Missing amount. ",IF(NOT(ISNUMBER(E458)),"Amount is not a number. ",IF(E458&lt;=0,"Amount must be above zero. ",""))))</f>
        <v/>
      </c>
      <c r="M458" s="15" t="str">
        <f aca="false">IF(NOT(COUNTA($A458:$H458)&gt;0),"",IF(D458="","Missing category. ",IF(COUNTIF(Settings!$B$11:$B$40,D458)=0,"Category not in your list. ","")))</f>
        <v/>
      </c>
      <c r="N458" s="15" t="str">
        <f aca="false">IF(AND(ISNUMBER(A458),ISNUMBER(E458),B458&lt;&gt;""),IF(COUNTIFS($A$6:$A$505,A458,$B$6:$B$505,B458,$E$6:$E$505,E458)&gt;1,"Possible duplicate. ",""),"")</f>
        <v/>
      </c>
      <c r="O458" s="15" t="str">
        <f aca="false">IF(AND(ISNUMBER(E458),E458&gt;=Settings!$B$6,G458&lt;&gt;"Yes"),"Receipt not marked as saved. ","")</f>
        <v/>
      </c>
      <c r="P458" s="15" t="str">
        <f aca="false">IF(AND(ISNUMBER(E458),E458&gt;=Settings!$B$5),"Large amount: review. ","")</f>
        <v/>
      </c>
    </row>
    <row r="459" customFormat="false" ht="15" hidden="false" customHeight="false" outlineLevel="0" collapsed="false">
      <c r="A459" s="10"/>
      <c r="B459" s="11"/>
      <c r="C459" s="11"/>
      <c r="D459" s="11"/>
      <c r="E459" s="12"/>
      <c r="F459" s="11"/>
      <c r="G459" s="11"/>
      <c r="H459" s="11"/>
      <c r="I459" s="13" t="str">
        <f aca="false">IF(NOT(COUNTA($A459:$H459)&gt;0),"",IF(K459&amp;L459&amp;M459&lt;&gt;"","ERROR",IF(N459&amp;O459&amp;P459&lt;&gt;"","CHECK","OK")))</f>
        <v/>
      </c>
      <c r="J459" s="14" t="str">
        <f aca="false">TRIM(K459&amp;L459&amp;M459&amp;N459&amp;O459&amp;P459)</f>
        <v/>
      </c>
      <c r="K459" s="15" t="str">
        <f aca="true">IF(NOT(COUNTA($A459:$H459)&gt;0),"",IF(A459="","Missing date. ",IF(NOT(ISNUMBER(A459)),"Date is not a real date. ",IF(YEAR(A459)&lt;&gt;Settings!$B$4,"Date outside tax year. ",IF(A459&gt;TODAY(),"Date is in the future. ","")))))</f>
        <v/>
      </c>
      <c r="L459" s="15" t="str">
        <f aca="false">IF(NOT(COUNTA($A459:$H459)&gt;0),"",IF(E459="","Missing amount. ",IF(NOT(ISNUMBER(E459)),"Amount is not a number. ",IF(E459&lt;=0,"Amount must be above zero. ",""))))</f>
        <v/>
      </c>
      <c r="M459" s="15" t="str">
        <f aca="false">IF(NOT(COUNTA($A459:$H459)&gt;0),"",IF(D459="","Missing category. ",IF(COUNTIF(Settings!$B$11:$B$40,D459)=0,"Category not in your list. ","")))</f>
        <v/>
      </c>
      <c r="N459" s="15" t="str">
        <f aca="false">IF(AND(ISNUMBER(A459),ISNUMBER(E459),B459&lt;&gt;""),IF(COUNTIFS($A$6:$A$505,A459,$B$6:$B$505,B459,$E$6:$E$505,E459)&gt;1,"Possible duplicate. ",""),"")</f>
        <v/>
      </c>
      <c r="O459" s="15" t="str">
        <f aca="false">IF(AND(ISNUMBER(E459),E459&gt;=Settings!$B$6,G459&lt;&gt;"Yes"),"Receipt not marked as saved. ","")</f>
        <v/>
      </c>
      <c r="P459" s="15" t="str">
        <f aca="false">IF(AND(ISNUMBER(E459),E459&gt;=Settings!$B$5),"Large amount: review. ","")</f>
        <v/>
      </c>
    </row>
    <row r="460" customFormat="false" ht="15" hidden="false" customHeight="false" outlineLevel="0" collapsed="false">
      <c r="A460" s="10"/>
      <c r="B460" s="11"/>
      <c r="C460" s="11"/>
      <c r="D460" s="11"/>
      <c r="E460" s="12"/>
      <c r="F460" s="11"/>
      <c r="G460" s="11"/>
      <c r="H460" s="11"/>
      <c r="I460" s="13" t="str">
        <f aca="false">IF(NOT(COUNTA($A460:$H460)&gt;0),"",IF(K460&amp;L460&amp;M460&lt;&gt;"","ERROR",IF(N460&amp;O460&amp;P460&lt;&gt;"","CHECK","OK")))</f>
        <v/>
      </c>
      <c r="J460" s="14" t="str">
        <f aca="false">TRIM(K460&amp;L460&amp;M460&amp;N460&amp;O460&amp;P460)</f>
        <v/>
      </c>
      <c r="K460" s="15" t="str">
        <f aca="true">IF(NOT(COUNTA($A460:$H460)&gt;0),"",IF(A460="","Missing date. ",IF(NOT(ISNUMBER(A460)),"Date is not a real date. ",IF(YEAR(A460)&lt;&gt;Settings!$B$4,"Date outside tax year. ",IF(A460&gt;TODAY(),"Date is in the future. ","")))))</f>
        <v/>
      </c>
      <c r="L460" s="15" t="str">
        <f aca="false">IF(NOT(COUNTA($A460:$H460)&gt;0),"",IF(E460="","Missing amount. ",IF(NOT(ISNUMBER(E460)),"Amount is not a number. ",IF(E460&lt;=0,"Amount must be above zero. ",""))))</f>
        <v/>
      </c>
      <c r="M460" s="15" t="str">
        <f aca="false">IF(NOT(COUNTA($A460:$H460)&gt;0),"",IF(D460="","Missing category. ",IF(COUNTIF(Settings!$B$11:$B$40,D460)=0,"Category not in your list. ","")))</f>
        <v/>
      </c>
      <c r="N460" s="15" t="str">
        <f aca="false">IF(AND(ISNUMBER(A460),ISNUMBER(E460),B460&lt;&gt;""),IF(COUNTIFS($A$6:$A$505,A460,$B$6:$B$505,B460,$E$6:$E$505,E460)&gt;1,"Possible duplicate. ",""),"")</f>
        <v/>
      </c>
      <c r="O460" s="15" t="str">
        <f aca="false">IF(AND(ISNUMBER(E460),E460&gt;=Settings!$B$6,G460&lt;&gt;"Yes"),"Receipt not marked as saved. ","")</f>
        <v/>
      </c>
      <c r="P460" s="15" t="str">
        <f aca="false">IF(AND(ISNUMBER(E460),E460&gt;=Settings!$B$5),"Large amount: review. ","")</f>
        <v/>
      </c>
    </row>
    <row r="461" customFormat="false" ht="15" hidden="false" customHeight="false" outlineLevel="0" collapsed="false">
      <c r="A461" s="10"/>
      <c r="B461" s="11"/>
      <c r="C461" s="11"/>
      <c r="D461" s="11"/>
      <c r="E461" s="12"/>
      <c r="F461" s="11"/>
      <c r="G461" s="11"/>
      <c r="H461" s="11"/>
      <c r="I461" s="13" t="str">
        <f aca="false">IF(NOT(COUNTA($A461:$H461)&gt;0),"",IF(K461&amp;L461&amp;M461&lt;&gt;"","ERROR",IF(N461&amp;O461&amp;P461&lt;&gt;"","CHECK","OK")))</f>
        <v/>
      </c>
      <c r="J461" s="14" t="str">
        <f aca="false">TRIM(K461&amp;L461&amp;M461&amp;N461&amp;O461&amp;P461)</f>
        <v/>
      </c>
      <c r="K461" s="15" t="str">
        <f aca="true">IF(NOT(COUNTA($A461:$H461)&gt;0),"",IF(A461="","Missing date. ",IF(NOT(ISNUMBER(A461)),"Date is not a real date. ",IF(YEAR(A461)&lt;&gt;Settings!$B$4,"Date outside tax year. ",IF(A461&gt;TODAY(),"Date is in the future. ","")))))</f>
        <v/>
      </c>
      <c r="L461" s="15" t="str">
        <f aca="false">IF(NOT(COUNTA($A461:$H461)&gt;0),"",IF(E461="","Missing amount. ",IF(NOT(ISNUMBER(E461)),"Amount is not a number. ",IF(E461&lt;=0,"Amount must be above zero. ",""))))</f>
        <v/>
      </c>
      <c r="M461" s="15" t="str">
        <f aca="false">IF(NOT(COUNTA($A461:$H461)&gt;0),"",IF(D461="","Missing category. ",IF(COUNTIF(Settings!$B$11:$B$40,D461)=0,"Category not in your list. ","")))</f>
        <v/>
      </c>
      <c r="N461" s="15" t="str">
        <f aca="false">IF(AND(ISNUMBER(A461),ISNUMBER(E461),B461&lt;&gt;""),IF(COUNTIFS($A$6:$A$505,A461,$B$6:$B$505,B461,$E$6:$E$505,E461)&gt;1,"Possible duplicate. ",""),"")</f>
        <v/>
      </c>
      <c r="O461" s="15" t="str">
        <f aca="false">IF(AND(ISNUMBER(E461),E461&gt;=Settings!$B$6,G461&lt;&gt;"Yes"),"Receipt not marked as saved. ","")</f>
        <v/>
      </c>
      <c r="P461" s="15" t="str">
        <f aca="false">IF(AND(ISNUMBER(E461),E461&gt;=Settings!$B$5),"Large amount: review. ","")</f>
        <v/>
      </c>
    </row>
    <row r="462" customFormat="false" ht="15" hidden="false" customHeight="false" outlineLevel="0" collapsed="false">
      <c r="A462" s="10"/>
      <c r="B462" s="11"/>
      <c r="C462" s="11"/>
      <c r="D462" s="11"/>
      <c r="E462" s="12"/>
      <c r="F462" s="11"/>
      <c r="G462" s="11"/>
      <c r="H462" s="11"/>
      <c r="I462" s="13" t="str">
        <f aca="false">IF(NOT(COUNTA($A462:$H462)&gt;0),"",IF(K462&amp;L462&amp;M462&lt;&gt;"","ERROR",IF(N462&amp;O462&amp;P462&lt;&gt;"","CHECK","OK")))</f>
        <v/>
      </c>
      <c r="J462" s="14" t="str">
        <f aca="false">TRIM(K462&amp;L462&amp;M462&amp;N462&amp;O462&amp;P462)</f>
        <v/>
      </c>
      <c r="K462" s="15" t="str">
        <f aca="true">IF(NOT(COUNTA($A462:$H462)&gt;0),"",IF(A462="","Missing date. ",IF(NOT(ISNUMBER(A462)),"Date is not a real date. ",IF(YEAR(A462)&lt;&gt;Settings!$B$4,"Date outside tax year. ",IF(A462&gt;TODAY(),"Date is in the future. ","")))))</f>
        <v/>
      </c>
      <c r="L462" s="15" t="str">
        <f aca="false">IF(NOT(COUNTA($A462:$H462)&gt;0),"",IF(E462="","Missing amount. ",IF(NOT(ISNUMBER(E462)),"Amount is not a number. ",IF(E462&lt;=0,"Amount must be above zero. ",""))))</f>
        <v/>
      </c>
      <c r="M462" s="15" t="str">
        <f aca="false">IF(NOT(COUNTA($A462:$H462)&gt;0),"",IF(D462="","Missing category. ",IF(COUNTIF(Settings!$B$11:$B$40,D462)=0,"Category not in your list. ","")))</f>
        <v/>
      </c>
      <c r="N462" s="15" t="str">
        <f aca="false">IF(AND(ISNUMBER(A462),ISNUMBER(E462),B462&lt;&gt;""),IF(COUNTIFS($A$6:$A$505,A462,$B$6:$B$505,B462,$E$6:$E$505,E462)&gt;1,"Possible duplicate. ",""),"")</f>
        <v/>
      </c>
      <c r="O462" s="15" t="str">
        <f aca="false">IF(AND(ISNUMBER(E462),E462&gt;=Settings!$B$6,G462&lt;&gt;"Yes"),"Receipt not marked as saved. ","")</f>
        <v/>
      </c>
      <c r="P462" s="15" t="str">
        <f aca="false">IF(AND(ISNUMBER(E462),E462&gt;=Settings!$B$5),"Large amount: review. ","")</f>
        <v/>
      </c>
    </row>
    <row r="463" customFormat="false" ht="15" hidden="false" customHeight="false" outlineLevel="0" collapsed="false">
      <c r="A463" s="10"/>
      <c r="B463" s="11"/>
      <c r="C463" s="11"/>
      <c r="D463" s="11"/>
      <c r="E463" s="12"/>
      <c r="F463" s="11"/>
      <c r="G463" s="11"/>
      <c r="H463" s="11"/>
      <c r="I463" s="13" t="str">
        <f aca="false">IF(NOT(COUNTA($A463:$H463)&gt;0),"",IF(K463&amp;L463&amp;M463&lt;&gt;"","ERROR",IF(N463&amp;O463&amp;P463&lt;&gt;"","CHECK","OK")))</f>
        <v/>
      </c>
      <c r="J463" s="14" t="str">
        <f aca="false">TRIM(K463&amp;L463&amp;M463&amp;N463&amp;O463&amp;P463)</f>
        <v/>
      </c>
      <c r="K463" s="15" t="str">
        <f aca="true">IF(NOT(COUNTA($A463:$H463)&gt;0),"",IF(A463="","Missing date. ",IF(NOT(ISNUMBER(A463)),"Date is not a real date. ",IF(YEAR(A463)&lt;&gt;Settings!$B$4,"Date outside tax year. ",IF(A463&gt;TODAY(),"Date is in the future. ","")))))</f>
        <v/>
      </c>
      <c r="L463" s="15" t="str">
        <f aca="false">IF(NOT(COUNTA($A463:$H463)&gt;0),"",IF(E463="","Missing amount. ",IF(NOT(ISNUMBER(E463)),"Amount is not a number. ",IF(E463&lt;=0,"Amount must be above zero. ",""))))</f>
        <v/>
      </c>
      <c r="M463" s="15" t="str">
        <f aca="false">IF(NOT(COUNTA($A463:$H463)&gt;0),"",IF(D463="","Missing category. ",IF(COUNTIF(Settings!$B$11:$B$40,D463)=0,"Category not in your list. ","")))</f>
        <v/>
      </c>
      <c r="N463" s="15" t="str">
        <f aca="false">IF(AND(ISNUMBER(A463),ISNUMBER(E463),B463&lt;&gt;""),IF(COUNTIFS($A$6:$A$505,A463,$B$6:$B$505,B463,$E$6:$E$505,E463)&gt;1,"Possible duplicate. ",""),"")</f>
        <v/>
      </c>
      <c r="O463" s="15" t="str">
        <f aca="false">IF(AND(ISNUMBER(E463),E463&gt;=Settings!$B$6,G463&lt;&gt;"Yes"),"Receipt not marked as saved. ","")</f>
        <v/>
      </c>
      <c r="P463" s="15" t="str">
        <f aca="false">IF(AND(ISNUMBER(E463),E463&gt;=Settings!$B$5),"Large amount: review. ","")</f>
        <v/>
      </c>
    </row>
    <row r="464" customFormat="false" ht="15" hidden="false" customHeight="false" outlineLevel="0" collapsed="false">
      <c r="A464" s="10"/>
      <c r="B464" s="11"/>
      <c r="C464" s="11"/>
      <c r="D464" s="11"/>
      <c r="E464" s="12"/>
      <c r="F464" s="11"/>
      <c r="G464" s="11"/>
      <c r="H464" s="11"/>
      <c r="I464" s="13" t="str">
        <f aca="false">IF(NOT(COUNTA($A464:$H464)&gt;0),"",IF(K464&amp;L464&amp;M464&lt;&gt;"","ERROR",IF(N464&amp;O464&amp;P464&lt;&gt;"","CHECK","OK")))</f>
        <v/>
      </c>
      <c r="J464" s="14" t="str">
        <f aca="false">TRIM(K464&amp;L464&amp;M464&amp;N464&amp;O464&amp;P464)</f>
        <v/>
      </c>
      <c r="K464" s="15" t="str">
        <f aca="true">IF(NOT(COUNTA($A464:$H464)&gt;0),"",IF(A464="","Missing date. ",IF(NOT(ISNUMBER(A464)),"Date is not a real date. ",IF(YEAR(A464)&lt;&gt;Settings!$B$4,"Date outside tax year. ",IF(A464&gt;TODAY(),"Date is in the future. ","")))))</f>
        <v/>
      </c>
      <c r="L464" s="15" t="str">
        <f aca="false">IF(NOT(COUNTA($A464:$H464)&gt;0),"",IF(E464="","Missing amount. ",IF(NOT(ISNUMBER(E464)),"Amount is not a number. ",IF(E464&lt;=0,"Amount must be above zero. ",""))))</f>
        <v/>
      </c>
      <c r="M464" s="15" t="str">
        <f aca="false">IF(NOT(COUNTA($A464:$H464)&gt;0),"",IF(D464="","Missing category. ",IF(COUNTIF(Settings!$B$11:$B$40,D464)=0,"Category not in your list. ","")))</f>
        <v/>
      </c>
      <c r="N464" s="15" t="str">
        <f aca="false">IF(AND(ISNUMBER(A464),ISNUMBER(E464),B464&lt;&gt;""),IF(COUNTIFS($A$6:$A$505,A464,$B$6:$B$505,B464,$E$6:$E$505,E464)&gt;1,"Possible duplicate. ",""),"")</f>
        <v/>
      </c>
      <c r="O464" s="15" t="str">
        <f aca="false">IF(AND(ISNUMBER(E464),E464&gt;=Settings!$B$6,G464&lt;&gt;"Yes"),"Receipt not marked as saved. ","")</f>
        <v/>
      </c>
      <c r="P464" s="15" t="str">
        <f aca="false">IF(AND(ISNUMBER(E464),E464&gt;=Settings!$B$5),"Large amount: review. ","")</f>
        <v/>
      </c>
    </row>
    <row r="465" customFormat="false" ht="15" hidden="false" customHeight="false" outlineLevel="0" collapsed="false">
      <c r="A465" s="10"/>
      <c r="B465" s="11"/>
      <c r="C465" s="11"/>
      <c r="D465" s="11"/>
      <c r="E465" s="12"/>
      <c r="F465" s="11"/>
      <c r="G465" s="11"/>
      <c r="H465" s="11"/>
      <c r="I465" s="13" t="str">
        <f aca="false">IF(NOT(COUNTA($A465:$H465)&gt;0),"",IF(K465&amp;L465&amp;M465&lt;&gt;"","ERROR",IF(N465&amp;O465&amp;P465&lt;&gt;"","CHECK","OK")))</f>
        <v/>
      </c>
      <c r="J465" s="14" t="str">
        <f aca="false">TRIM(K465&amp;L465&amp;M465&amp;N465&amp;O465&amp;P465)</f>
        <v/>
      </c>
      <c r="K465" s="15" t="str">
        <f aca="true">IF(NOT(COUNTA($A465:$H465)&gt;0),"",IF(A465="","Missing date. ",IF(NOT(ISNUMBER(A465)),"Date is not a real date. ",IF(YEAR(A465)&lt;&gt;Settings!$B$4,"Date outside tax year. ",IF(A465&gt;TODAY(),"Date is in the future. ","")))))</f>
        <v/>
      </c>
      <c r="L465" s="15" t="str">
        <f aca="false">IF(NOT(COUNTA($A465:$H465)&gt;0),"",IF(E465="","Missing amount. ",IF(NOT(ISNUMBER(E465)),"Amount is not a number. ",IF(E465&lt;=0,"Amount must be above zero. ",""))))</f>
        <v/>
      </c>
      <c r="M465" s="15" t="str">
        <f aca="false">IF(NOT(COUNTA($A465:$H465)&gt;0),"",IF(D465="","Missing category. ",IF(COUNTIF(Settings!$B$11:$B$40,D465)=0,"Category not in your list. ","")))</f>
        <v/>
      </c>
      <c r="N465" s="15" t="str">
        <f aca="false">IF(AND(ISNUMBER(A465),ISNUMBER(E465),B465&lt;&gt;""),IF(COUNTIFS($A$6:$A$505,A465,$B$6:$B$505,B465,$E$6:$E$505,E465)&gt;1,"Possible duplicate. ",""),"")</f>
        <v/>
      </c>
      <c r="O465" s="15" t="str">
        <f aca="false">IF(AND(ISNUMBER(E465),E465&gt;=Settings!$B$6,G465&lt;&gt;"Yes"),"Receipt not marked as saved. ","")</f>
        <v/>
      </c>
      <c r="P465" s="15" t="str">
        <f aca="false">IF(AND(ISNUMBER(E465),E465&gt;=Settings!$B$5),"Large amount: review. ","")</f>
        <v/>
      </c>
    </row>
    <row r="466" customFormat="false" ht="15" hidden="false" customHeight="false" outlineLevel="0" collapsed="false">
      <c r="A466" s="10"/>
      <c r="B466" s="11"/>
      <c r="C466" s="11"/>
      <c r="D466" s="11"/>
      <c r="E466" s="12"/>
      <c r="F466" s="11"/>
      <c r="G466" s="11"/>
      <c r="H466" s="11"/>
      <c r="I466" s="13" t="str">
        <f aca="false">IF(NOT(COUNTA($A466:$H466)&gt;0),"",IF(K466&amp;L466&amp;M466&lt;&gt;"","ERROR",IF(N466&amp;O466&amp;P466&lt;&gt;"","CHECK","OK")))</f>
        <v/>
      </c>
      <c r="J466" s="14" t="str">
        <f aca="false">TRIM(K466&amp;L466&amp;M466&amp;N466&amp;O466&amp;P466)</f>
        <v/>
      </c>
      <c r="K466" s="15" t="str">
        <f aca="true">IF(NOT(COUNTA($A466:$H466)&gt;0),"",IF(A466="","Missing date. ",IF(NOT(ISNUMBER(A466)),"Date is not a real date. ",IF(YEAR(A466)&lt;&gt;Settings!$B$4,"Date outside tax year. ",IF(A466&gt;TODAY(),"Date is in the future. ","")))))</f>
        <v/>
      </c>
      <c r="L466" s="15" t="str">
        <f aca="false">IF(NOT(COUNTA($A466:$H466)&gt;0),"",IF(E466="","Missing amount. ",IF(NOT(ISNUMBER(E466)),"Amount is not a number. ",IF(E466&lt;=0,"Amount must be above zero. ",""))))</f>
        <v/>
      </c>
      <c r="M466" s="15" t="str">
        <f aca="false">IF(NOT(COUNTA($A466:$H466)&gt;0),"",IF(D466="","Missing category. ",IF(COUNTIF(Settings!$B$11:$B$40,D466)=0,"Category not in your list. ","")))</f>
        <v/>
      </c>
      <c r="N466" s="15" t="str">
        <f aca="false">IF(AND(ISNUMBER(A466),ISNUMBER(E466),B466&lt;&gt;""),IF(COUNTIFS($A$6:$A$505,A466,$B$6:$B$505,B466,$E$6:$E$505,E466)&gt;1,"Possible duplicate. ",""),"")</f>
        <v/>
      </c>
      <c r="O466" s="15" t="str">
        <f aca="false">IF(AND(ISNUMBER(E466),E466&gt;=Settings!$B$6,G466&lt;&gt;"Yes"),"Receipt not marked as saved. ","")</f>
        <v/>
      </c>
      <c r="P466" s="15" t="str">
        <f aca="false">IF(AND(ISNUMBER(E466),E466&gt;=Settings!$B$5),"Large amount: review. ","")</f>
        <v/>
      </c>
    </row>
    <row r="467" customFormat="false" ht="15" hidden="false" customHeight="false" outlineLevel="0" collapsed="false">
      <c r="A467" s="10"/>
      <c r="B467" s="11"/>
      <c r="C467" s="11"/>
      <c r="D467" s="11"/>
      <c r="E467" s="12"/>
      <c r="F467" s="11"/>
      <c r="G467" s="11"/>
      <c r="H467" s="11"/>
      <c r="I467" s="13" t="str">
        <f aca="false">IF(NOT(COUNTA($A467:$H467)&gt;0),"",IF(K467&amp;L467&amp;M467&lt;&gt;"","ERROR",IF(N467&amp;O467&amp;P467&lt;&gt;"","CHECK","OK")))</f>
        <v/>
      </c>
      <c r="J467" s="14" t="str">
        <f aca="false">TRIM(K467&amp;L467&amp;M467&amp;N467&amp;O467&amp;P467)</f>
        <v/>
      </c>
      <c r="K467" s="15" t="str">
        <f aca="true">IF(NOT(COUNTA($A467:$H467)&gt;0),"",IF(A467="","Missing date. ",IF(NOT(ISNUMBER(A467)),"Date is not a real date. ",IF(YEAR(A467)&lt;&gt;Settings!$B$4,"Date outside tax year. ",IF(A467&gt;TODAY(),"Date is in the future. ","")))))</f>
        <v/>
      </c>
      <c r="L467" s="15" t="str">
        <f aca="false">IF(NOT(COUNTA($A467:$H467)&gt;0),"",IF(E467="","Missing amount. ",IF(NOT(ISNUMBER(E467)),"Amount is not a number. ",IF(E467&lt;=0,"Amount must be above zero. ",""))))</f>
        <v/>
      </c>
      <c r="M467" s="15" t="str">
        <f aca="false">IF(NOT(COUNTA($A467:$H467)&gt;0),"",IF(D467="","Missing category. ",IF(COUNTIF(Settings!$B$11:$B$40,D467)=0,"Category not in your list. ","")))</f>
        <v/>
      </c>
      <c r="N467" s="15" t="str">
        <f aca="false">IF(AND(ISNUMBER(A467),ISNUMBER(E467),B467&lt;&gt;""),IF(COUNTIFS($A$6:$A$505,A467,$B$6:$B$505,B467,$E$6:$E$505,E467)&gt;1,"Possible duplicate. ",""),"")</f>
        <v/>
      </c>
      <c r="O467" s="15" t="str">
        <f aca="false">IF(AND(ISNUMBER(E467),E467&gt;=Settings!$B$6,G467&lt;&gt;"Yes"),"Receipt not marked as saved. ","")</f>
        <v/>
      </c>
      <c r="P467" s="15" t="str">
        <f aca="false">IF(AND(ISNUMBER(E467),E467&gt;=Settings!$B$5),"Large amount: review. ","")</f>
        <v/>
      </c>
    </row>
    <row r="468" customFormat="false" ht="15" hidden="false" customHeight="false" outlineLevel="0" collapsed="false">
      <c r="A468" s="10"/>
      <c r="B468" s="11"/>
      <c r="C468" s="11"/>
      <c r="D468" s="11"/>
      <c r="E468" s="12"/>
      <c r="F468" s="11"/>
      <c r="G468" s="11"/>
      <c r="H468" s="11"/>
      <c r="I468" s="13" t="str">
        <f aca="false">IF(NOT(COUNTA($A468:$H468)&gt;0),"",IF(K468&amp;L468&amp;M468&lt;&gt;"","ERROR",IF(N468&amp;O468&amp;P468&lt;&gt;"","CHECK","OK")))</f>
        <v/>
      </c>
      <c r="J468" s="14" t="str">
        <f aca="false">TRIM(K468&amp;L468&amp;M468&amp;N468&amp;O468&amp;P468)</f>
        <v/>
      </c>
      <c r="K468" s="15" t="str">
        <f aca="true">IF(NOT(COUNTA($A468:$H468)&gt;0),"",IF(A468="","Missing date. ",IF(NOT(ISNUMBER(A468)),"Date is not a real date. ",IF(YEAR(A468)&lt;&gt;Settings!$B$4,"Date outside tax year. ",IF(A468&gt;TODAY(),"Date is in the future. ","")))))</f>
        <v/>
      </c>
      <c r="L468" s="15" t="str">
        <f aca="false">IF(NOT(COUNTA($A468:$H468)&gt;0),"",IF(E468="","Missing amount. ",IF(NOT(ISNUMBER(E468)),"Amount is not a number. ",IF(E468&lt;=0,"Amount must be above zero. ",""))))</f>
        <v/>
      </c>
      <c r="M468" s="15" t="str">
        <f aca="false">IF(NOT(COUNTA($A468:$H468)&gt;0),"",IF(D468="","Missing category. ",IF(COUNTIF(Settings!$B$11:$B$40,D468)=0,"Category not in your list. ","")))</f>
        <v/>
      </c>
      <c r="N468" s="15" t="str">
        <f aca="false">IF(AND(ISNUMBER(A468),ISNUMBER(E468),B468&lt;&gt;""),IF(COUNTIFS($A$6:$A$505,A468,$B$6:$B$505,B468,$E$6:$E$505,E468)&gt;1,"Possible duplicate. ",""),"")</f>
        <v/>
      </c>
      <c r="O468" s="15" t="str">
        <f aca="false">IF(AND(ISNUMBER(E468),E468&gt;=Settings!$B$6,G468&lt;&gt;"Yes"),"Receipt not marked as saved. ","")</f>
        <v/>
      </c>
      <c r="P468" s="15" t="str">
        <f aca="false">IF(AND(ISNUMBER(E468),E468&gt;=Settings!$B$5),"Large amount: review. ","")</f>
        <v/>
      </c>
    </row>
    <row r="469" customFormat="false" ht="15" hidden="false" customHeight="false" outlineLevel="0" collapsed="false">
      <c r="A469" s="10"/>
      <c r="B469" s="11"/>
      <c r="C469" s="11"/>
      <c r="D469" s="11"/>
      <c r="E469" s="12"/>
      <c r="F469" s="11"/>
      <c r="G469" s="11"/>
      <c r="H469" s="11"/>
      <c r="I469" s="13" t="str">
        <f aca="false">IF(NOT(COUNTA($A469:$H469)&gt;0),"",IF(K469&amp;L469&amp;M469&lt;&gt;"","ERROR",IF(N469&amp;O469&amp;P469&lt;&gt;"","CHECK","OK")))</f>
        <v/>
      </c>
      <c r="J469" s="14" t="str">
        <f aca="false">TRIM(K469&amp;L469&amp;M469&amp;N469&amp;O469&amp;P469)</f>
        <v/>
      </c>
      <c r="K469" s="15" t="str">
        <f aca="true">IF(NOT(COUNTA($A469:$H469)&gt;0),"",IF(A469="","Missing date. ",IF(NOT(ISNUMBER(A469)),"Date is not a real date. ",IF(YEAR(A469)&lt;&gt;Settings!$B$4,"Date outside tax year. ",IF(A469&gt;TODAY(),"Date is in the future. ","")))))</f>
        <v/>
      </c>
      <c r="L469" s="15" t="str">
        <f aca="false">IF(NOT(COUNTA($A469:$H469)&gt;0),"",IF(E469="","Missing amount. ",IF(NOT(ISNUMBER(E469)),"Amount is not a number. ",IF(E469&lt;=0,"Amount must be above zero. ",""))))</f>
        <v/>
      </c>
      <c r="M469" s="15" t="str">
        <f aca="false">IF(NOT(COUNTA($A469:$H469)&gt;0),"",IF(D469="","Missing category. ",IF(COUNTIF(Settings!$B$11:$B$40,D469)=0,"Category not in your list. ","")))</f>
        <v/>
      </c>
      <c r="N469" s="15" t="str">
        <f aca="false">IF(AND(ISNUMBER(A469),ISNUMBER(E469),B469&lt;&gt;""),IF(COUNTIFS($A$6:$A$505,A469,$B$6:$B$505,B469,$E$6:$E$505,E469)&gt;1,"Possible duplicate. ",""),"")</f>
        <v/>
      </c>
      <c r="O469" s="15" t="str">
        <f aca="false">IF(AND(ISNUMBER(E469),E469&gt;=Settings!$B$6,G469&lt;&gt;"Yes"),"Receipt not marked as saved. ","")</f>
        <v/>
      </c>
      <c r="P469" s="15" t="str">
        <f aca="false">IF(AND(ISNUMBER(E469),E469&gt;=Settings!$B$5),"Large amount: review. ","")</f>
        <v/>
      </c>
    </row>
    <row r="470" customFormat="false" ht="15" hidden="false" customHeight="false" outlineLevel="0" collapsed="false">
      <c r="A470" s="10"/>
      <c r="B470" s="11"/>
      <c r="C470" s="11"/>
      <c r="D470" s="11"/>
      <c r="E470" s="12"/>
      <c r="F470" s="11"/>
      <c r="G470" s="11"/>
      <c r="H470" s="11"/>
      <c r="I470" s="13" t="str">
        <f aca="false">IF(NOT(COUNTA($A470:$H470)&gt;0),"",IF(K470&amp;L470&amp;M470&lt;&gt;"","ERROR",IF(N470&amp;O470&amp;P470&lt;&gt;"","CHECK","OK")))</f>
        <v/>
      </c>
      <c r="J470" s="14" t="str">
        <f aca="false">TRIM(K470&amp;L470&amp;M470&amp;N470&amp;O470&amp;P470)</f>
        <v/>
      </c>
      <c r="K470" s="15" t="str">
        <f aca="true">IF(NOT(COUNTA($A470:$H470)&gt;0),"",IF(A470="","Missing date. ",IF(NOT(ISNUMBER(A470)),"Date is not a real date. ",IF(YEAR(A470)&lt;&gt;Settings!$B$4,"Date outside tax year. ",IF(A470&gt;TODAY(),"Date is in the future. ","")))))</f>
        <v/>
      </c>
      <c r="L470" s="15" t="str">
        <f aca="false">IF(NOT(COUNTA($A470:$H470)&gt;0),"",IF(E470="","Missing amount. ",IF(NOT(ISNUMBER(E470)),"Amount is not a number. ",IF(E470&lt;=0,"Amount must be above zero. ",""))))</f>
        <v/>
      </c>
      <c r="M470" s="15" t="str">
        <f aca="false">IF(NOT(COUNTA($A470:$H470)&gt;0),"",IF(D470="","Missing category. ",IF(COUNTIF(Settings!$B$11:$B$40,D470)=0,"Category not in your list. ","")))</f>
        <v/>
      </c>
      <c r="N470" s="15" t="str">
        <f aca="false">IF(AND(ISNUMBER(A470),ISNUMBER(E470),B470&lt;&gt;""),IF(COUNTIFS($A$6:$A$505,A470,$B$6:$B$505,B470,$E$6:$E$505,E470)&gt;1,"Possible duplicate. ",""),"")</f>
        <v/>
      </c>
      <c r="O470" s="15" t="str">
        <f aca="false">IF(AND(ISNUMBER(E470),E470&gt;=Settings!$B$6,G470&lt;&gt;"Yes"),"Receipt not marked as saved. ","")</f>
        <v/>
      </c>
      <c r="P470" s="15" t="str">
        <f aca="false">IF(AND(ISNUMBER(E470),E470&gt;=Settings!$B$5),"Large amount: review. ","")</f>
        <v/>
      </c>
    </row>
    <row r="471" customFormat="false" ht="15" hidden="false" customHeight="false" outlineLevel="0" collapsed="false">
      <c r="A471" s="10"/>
      <c r="B471" s="11"/>
      <c r="C471" s="11"/>
      <c r="D471" s="11"/>
      <c r="E471" s="12"/>
      <c r="F471" s="11"/>
      <c r="G471" s="11"/>
      <c r="H471" s="11"/>
      <c r="I471" s="13" t="str">
        <f aca="false">IF(NOT(COUNTA($A471:$H471)&gt;0),"",IF(K471&amp;L471&amp;M471&lt;&gt;"","ERROR",IF(N471&amp;O471&amp;P471&lt;&gt;"","CHECK","OK")))</f>
        <v/>
      </c>
      <c r="J471" s="14" t="str">
        <f aca="false">TRIM(K471&amp;L471&amp;M471&amp;N471&amp;O471&amp;P471)</f>
        <v/>
      </c>
      <c r="K471" s="15" t="str">
        <f aca="true">IF(NOT(COUNTA($A471:$H471)&gt;0),"",IF(A471="","Missing date. ",IF(NOT(ISNUMBER(A471)),"Date is not a real date. ",IF(YEAR(A471)&lt;&gt;Settings!$B$4,"Date outside tax year. ",IF(A471&gt;TODAY(),"Date is in the future. ","")))))</f>
        <v/>
      </c>
      <c r="L471" s="15" t="str">
        <f aca="false">IF(NOT(COUNTA($A471:$H471)&gt;0),"",IF(E471="","Missing amount. ",IF(NOT(ISNUMBER(E471)),"Amount is not a number. ",IF(E471&lt;=0,"Amount must be above zero. ",""))))</f>
        <v/>
      </c>
      <c r="M471" s="15" t="str">
        <f aca="false">IF(NOT(COUNTA($A471:$H471)&gt;0),"",IF(D471="","Missing category. ",IF(COUNTIF(Settings!$B$11:$B$40,D471)=0,"Category not in your list. ","")))</f>
        <v/>
      </c>
      <c r="N471" s="15" t="str">
        <f aca="false">IF(AND(ISNUMBER(A471),ISNUMBER(E471),B471&lt;&gt;""),IF(COUNTIFS($A$6:$A$505,A471,$B$6:$B$505,B471,$E$6:$E$505,E471)&gt;1,"Possible duplicate. ",""),"")</f>
        <v/>
      </c>
      <c r="O471" s="15" t="str">
        <f aca="false">IF(AND(ISNUMBER(E471),E471&gt;=Settings!$B$6,G471&lt;&gt;"Yes"),"Receipt not marked as saved. ","")</f>
        <v/>
      </c>
      <c r="P471" s="15" t="str">
        <f aca="false">IF(AND(ISNUMBER(E471),E471&gt;=Settings!$B$5),"Large amount: review. ","")</f>
        <v/>
      </c>
    </row>
    <row r="472" customFormat="false" ht="15" hidden="false" customHeight="false" outlineLevel="0" collapsed="false">
      <c r="A472" s="10"/>
      <c r="B472" s="11"/>
      <c r="C472" s="11"/>
      <c r="D472" s="11"/>
      <c r="E472" s="12"/>
      <c r="F472" s="11"/>
      <c r="G472" s="11"/>
      <c r="H472" s="11"/>
      <c r="I472" s="13" t="str">
        <f aca="false">IF(NOT(COUNTA($A472:$H472)&gt;0),"",IF(K472&amp;L472&amp;M472&lt;&gt;"","ERROR",IF(N472&amp;O472&amp;P472&lt;&gt;"","CHECK","OK")))</f>
        <v/>
      </c>
      <c r="J472" s="14" t="str">
        <f aca="false">TRIM(K472&amp;L472&amp;M472&amp;N472&amp;O472&amp;P472)</f>
        <v/>
      </c>
      <c r="K472" s="15" t="str">
        <f aca="true">IF(NOT(COUNTA($A472:$H472)&gt;0),"",IF(A472="","Missing date. ",IF(NOT(ISNUMBER(A472)),"Date is not a real date. ",IF(YEAR(A472)&lt;&gt;Settings!$B$4,"Date outside tax year. ",IF(A472&gt;TODAY(),"Date is in the future. ","")))))</f>
        <v/>
      </c>
      <c r="L472" s="15" t="str">
        <f aca="false">IF(NOT(COUNTA($A472:$H472)&gt;0),"",IF(E472="","Missing amount. ",IF(NOT(ISNUMBER(E472)),"Amount is not a number. ",IF(E472&lt;=0,"Amount must be above zero. ",""))))</f>
        <v/>
      </c>
      <c r="M472" s="15" t="str">
        <f aca="false">IF(NOT(COUNTA($A472:$H472)&gt;0),"",IF(D472="","Missing category. ",IF(COUNTIF(Settings!$B$11:$B$40,D472)=0,"Category not in your list. ","")))</f>
        <v/>
      </c>
      <c r="N472" s="15" t="str">
        <f aca="false">IF(AND(ISNUMBER(A472),ISNUMBER(E472),B472&lt;&gt;""),IF(COUNTIFS($A$6:$A$505,A472,$B$6:$B$505,B472,$E$6:$E$505,E472)&gt;1,"Possible duplicate. ",""),"")</f>
        <v/>
      </c>
      <c r="O472" s="15" t="str">
        <f aca="false">IF(AND(ISNUMBER(E472),E472&gt;=Settings!$B$6,G472&lt;&gt;"Yes"),"Receipt not marked as saved. ","")</f>
        <v/>
      </c>
      <c r="P472" s="15" t="str">
        <f aca="false">IF(AND(ISNUMBER(E472),E472&gt;=Settings!$B$5),"Large amount: review. ","")</f>
        <v/>
      </c>
    </row>
    <row r="473" customFormat="false" ht="15" hidden="false" customHeight="false" outlineLevel="0" collapsed="false">
      <c r="A473" s="10"/>
      <c r="B473" s="11"/>
      <c r="C473" s="11"/>
      <c r="D473" s="11"/>
      <c r="E473" s="12"/>
      <c r="F473" s="11"/>
      <c r="G473" s="11"/>
      <c r="H473" s="11"/>
      <c r="I473" s="13" t="str">
        <f aca="false">IF(NOT(COUNTA($A473:$H473)&gt;0),"",IF(K473&amp;L473&amp;M473&lt;&gt;"","ERROR",IF(N473&amp;O473&amp;P473&lt;&gt;"","CHECK","OK")))</f>
        <v/>
      </c>
      <c r="J473" s="14" t="str">
        <f aca="false">TRIM(K473&amp;L473&amp;M473&amp;N473&amp;O473&amp;P473)</f>
        <v/>
      </c>
      <c r="K473" s="15" t="str">
        <f aca="true">IF(NOT(COUNTA($A473:$H473)&gt;0),"",IF(A473="","Missing date. ",IF(NOT(ISNUMBER(A473)),"Date is not a real date. ",IF(YEAR(A473)&lt;&gt;Settings!$B$4,"Date outside tax year. ",IF(A473&gt;TODAY(),"Date is in the future. ","")))))</f>
        <v/>
      </c>
      <c r="L473" s="15" t="str">
        <f aca="false">IF(NOT(COUNTA($A473:$H473)&gt;0),"",IF(E473="","Missing amount. ",IF(NOT(ISNUMBER(E473)),"Amount is not a number. ",IF(E473&lt;=0,"Amount must be above zero. ",""))))</f>
        <v/>
      </c>
      <c r="M473" s="15" t="str">
        <f aca="false">IF(NOT(COUNTA($A473:$H473)&gt;0),"",IF(D473="","Missing category. ",IF(COUNTIF(Settings!$B$11:$B$40,D473)=0,"Category not in your list. ","")))</f>
        <v/>
      </c>
      <c r="N473" s="15" t="str">
        <f aca="false">IF(AND(ISNUMBER(A473),ISNUMBER(E473),B473&lt;&gt;""),IF(COUNTIFS($A$6:$A$505,A473,$B$6:$B$505,B473,$E$6:$E$505,E473)&gt;1,"Possible duplicate. ",""),"")</f>
        <v/>
      </c>
      <c r="O473" s="15" t="str">
        <f aca="false">IF(AND(ISNUMBER(E473),E473&gt;=Settings!$B$6,G473&lt;&gt;"Yes"),"Receipt not marked as saved. ","")</f>
        <v/>
      </c>
      <c r="P473" s="15" t="str">
        <f aca="false">IF(AND(ISNUMBER(E473),E473&gt;=Settings!$B$5),"Large amount: review. ","")</f>
        <v/>
      </c>
    </row>
    <row r="474" customFormat="false" ht="15" hidden="false" customHeight="false" outlineLevel="0" collapsed="false">
      <c r="A474" s="10"/>
      <c r="B474" s="11"/>
      <c r="C474" s="11"/>
      <c r="D474" s="11"/>
      <c r="E474" s="12"/>
      <c r="F474" s="11"/>
      <c r="G474" s="11"/>
      <c r="H474" s="11"/>
      <c r="I474" s="13" t="str">
        <f aca="false">IF(NOT(COUNTA($A474:$H474)&gt;0),"",IF(K474&amp;L474&amp;M474&lt;&gt;"","ERROR",IF(N474&amp;O474&amp;P474&lt;&gt;"","CHECK","OK")))</f>
        <v/>
      </c>
      <c r="J474" s="14" t="str">
        <f aca="false">TRIM(K474&amp;L474&amp;M474&amp;N474&amp;O474&amp;P474)</f>
        <v/>
      </c>
      <c r="K474" s="15" t="str">
        <f aca="true">IF(NOT(COUNTA($A474:$H474)&gt;0),"",IF(A474="","Missing date. ",IF(NOT(ISNUMBER(A474)),"Date is not a real date. ",IF(YEAR(A474)&lt;&gt;Settings!$B$4,"Date outside tax year. ",IF(A474&gt;TODAY(),"Date is in the future. ","")))))</f>
        <v/>
      </c>
      <c r="L474" s="15" t="str">
        <f aca="false">IF(NOT(COUNTA($A474:$H474)&gt;0),"",IF(E474="","Missing amount. ",IF(NOT(ISNUMBER(E474)),"Amount is not a number. ",IF(E474&lt;=0,"Amount must be above zero. ",""))))</f>
        <v/>
      </c>
      <c r="M474" s="15" t="str">
        <f aca="false">IF(NOT(COUNTA($A474:$H474)&gt;0),"",IF(D474="","Missing category. ",IF(COUNTIF(Settings!$B$11:$B$40,D474)=0,"Category not in your list. ","")))</f>
        <v/>
      </c>
      <c r="N474" s="15" t="str">
        <f aca="false">IF(AND(ISNUMBER(A474),ISNUMBER(E474),B474&lt;&gt;""),IF(COUNTIFS($A$6:$A$505,A474,$B$6:$B$505,B474,$E$6:$E$505,E474)&gt;1,"Possible duplicate. ",""),"")</f>
        <v/>
      </c>
      <c r="O474" s="15" t="str">
        <f aca="false">IF(AND(ISNUMBER(E474),E474&gt;=Settings!$B$6,G474&lt;&gt;"Yes"),"Receipt not marked as saved. ","")</f>
        <v/>
      </c>
      <c r="P474" s="15" t="str">
        <f aca="false">IF(AND(ISNUMBER(E474),E474&gt;=Settings!$B$5),"Large amount: review. ","")</f>
        <v/>
      </c>
    </row>
    <row r="475" customFormat="false" ht="15" hidden="false" customHeight="false" outlineLevel="0" collapsed="false">
      <c r="A475" s="10"/>
      <c r="B475" s="11"/>
      <c r="C475" s="11"/>
      <c r="D475" s="11"/>
      <c r="E475" s="12"/>
      <c r="F475" s="11"/>
      <c r="G475" s="11"/>
      <c r="H475" s="11"/>
      <c r="I475" s="13" t="str">
        <f aca="false">IF(NOT(COUNTA($A475:$H475)&gt;0),"",IF(K475&amp;L475&amp;M475&lt;&gt;"","ERROR",IF(N475&amp;O475&amp;P475&lt;&gt;"","CHECK","OK")))</f>
        <v/>
      </c>
      <c r="J475" s="14" t="str">
        <f aca="false">TRIM(K475&amp;L475&amp;M475&amp;N475&amp;O475&amp;P475)</f>
        <v/>
      </c>
      <c r="K475" s="15" t="str">
        <f aca="true">IF(NOT(COUNTA($A475:$H475)&gt;0),"",IF(A475="","Missing date. ",IF(NOT(ISNUMBER(A475)),"Date is not a real date. ",IF(YEAR(A475)&lt;&gt;Settings!$B$4,"Date outside tax year. ",IF(A475&gt;TODAY(),"Date is in the future. ","")))))</f>
        <v/>
      </c>
      <c r="L475" s="15" t="str">
        <f aca="false">IF(NOT(COUNTA($A475:$H475)&gt;0),"",IF(E475="","Missing amount. ",IF(NOT(ISNUMBER(E475)),"Amount is not a number. ",IF(E475&lt;=0,"Amount must be above zero. ",""))))</f>
        <v/>
      </c>
      <c r="M475" s="15" t="str">
        <f aca="false">IF(NOT(COUNTA($A475:$H475)&gt;0),"",IF(D475="","Missing category. ",IF(COUNTIF(Settings!$B$11:$B$40,D475)=0,"Category not in your list. ","")))</f>
        <v/>
      </c>
      <c r="N475" s="15" t="str">
        <f aca="false">IF(AND(ISNUMBER(A475),ISNUMBER(E475),B475&lt;&gt;""),IF(COUNTIFS($A$6:$A$505,A475,$B$6:$B$505,B475,$E$6:$E$505,E475)&gt;1,"Possible duplicate. ",""),"")</f>
        <v/>
      </c>
      <c r="O475" s="15" t="str">
        <f aca="false">IF(AND(ISNUMBER(E475),E475&gt;=Settings!$B$6,G475&lt;&gt;"Yes"),"Receipt not marked as saved. ","")</f>
        <v/>
      </c>
      <c r="P475" s="15" t="str">
        <f aca="false">IF(AND(ISNUMBER(E475),E475&gt;=Settings!$B$5),"Large amount: review. ","")</f>
        <v/>
      </c>
    </row>
    <row r="476" customFormat="false" ht="15" hidden="false" customHeight="false" outlineLevel="0" collapsed="false">
      <c r="A476" s="10"/>
      <c r="B476" s="11"/>
      <c r="C476" s="11"/>
      <c r="D476" s="11"/>
      <c r="E476" s="12"/>
      <c r="F476" s="11"/>
      <c r="G476" s="11"/>
      <c r="H476" s="11"/>
      <c r="I476" s="13" t="str">
        <f aca="false">IF(NOT(COUNTA($A476:$H476)&gt;0),"",IF(K476&amp;L476&amp;M476&lt;&gt;"","ERROR",IF(N476&amp;O476&amp;P476&lt;&gt;"","CHECK","OK")))</f>
        <v/>
      </c>
      <c r="J476" s="14" t="str">
        <f aca="false">TRIM(K476&amp;L476&amp;M476&amp;N476&amp;O476&amp;P476)</f>
        <v/>
      </c>
      <c r="K476" s="15" t="str">
        <f aca="true">IF(NOT(COUNTA($A476:$H476)&gt;0),"",IF(A476="","Missing date. ",IF(NOT(ISNUMBER(A476)),"Date is not a real date. ",IF(YEAR(A476)&lt;&gt;Settings!$B$4,"Date outside tax year. ",IF(A476&gt;TODAY(),"Date is in the future. ","")))))</f>
        <v/>
      </c>
      <c r="L476" s="15" t="str">
        <f aca="false">IF(NOT(COUNTA($A476:$H476)&gt;0),"",IF(E476="","Missing amount. ",IF(NOT(ISNUMBER(E476)),"Amount is not a number. ",IF(E476&lt;=0,"Amount must be above zero. ",""))))</f>
        <v/>
      </c>
      <c r="M476" s="15" t="str">
        <f aca="false">IF(NOT(COUNTA($A476:$H476)&gt;0),"",IF(D476="","Missing category. ",IF(COUNTIF(Settings!$B$11:$B$40,D476)=0,"Category not in your list. ","")))</f>
        <v/>
      </c>
      <c r="N476" s="15" t="str">
        <f aca="false">IF(AND(ISNUMBER(A476),ISNUMBER(E476),B476&lt;&gt;""),IF(COUNTIFS($A$6:$A$505,A476,$B$6:$B$505,B476,$E$6:$E$505,E476)&gt;1,"Possible duplicate. ",""),"")</f>
        <v/>
      </c>
      <c r="O476" s="15" t="str">
        <f aca="false">IF(AND(ISNUMBER(E476),E476&gt;=Settings!$B$6,G476&lt;&gt;"Yes"),"Receipt not marked as saved. ","")</f>
        <v/>
      </c>
      <c r="P476" s="15" t="str">
        <f aca="false">IF(AND(ISNUMBER(E476),E476&gt;=Settings!$B$5),"Large amount: review. ","")</f>
        <v/>
      </c>
    </row>
    <row r="477" customFormat="false" ht="15" hidden="false" customHeight="false" outlineLevel="0" collapsed="false">
      <c r="A477" s="10"/>
      <c r="B477" s="11"/>
      <c r="C477" s="11"/>
      <c r="D477" s="11"/>
      <c r="E477" s="12"/>
      <c r="F477" s="11"/>
      <c r="G477" s="11"/>
      <c r="H477" s="11"/>
      <c r="I477" s="13" t="str">
        <f aca="false">IF(NOT(COUNTA($A477:$H477)&gt;0),"",IF(K477&amp;L477&amp;M477&lt;&gt;"","ERROR",IF(N477&amp;O477&amp;P477&lt;&gt;"","CHECK","OK")))</f>
        <v/>
      </c>
      <c r="J477" s="14" t="str">
        <f aca="false">TRIM(K477&amp;L477&amp;M477&amp;N477&amp;O477&amp;P477)</f>
        <v/>
      </c>
      <c r="K477" s="15" t="str">
        <f aca="true">IF(NOT(COUNTA($A477:$H477)&gt;0),"",IF(A477="","Missing date. ",IF(NOT(ISNUMBER(A477)),"Date is not a real date. ",IF(YEAR(A477)&lt;&gt;Settings!$B$4,"Date outside tax year. ",IF(A477&gt;TODAY(),"Date is in the future. ","")))))</f>
        <v/>
      </c>
      <c r="L477" s="15" t="str">
        <f aca="false">IF(NOT(COUNTA($A477:$H477)&gt;0),"",IF(E477="","Missing amount. ",IF(NOT(ISNUMBER(E477)),"Amount is not a number. ",IF(E477&lt;=0,"Amount must be above zero. ",""))))</f>
        <v/>
      </c>
      <c r="M477" s="15" t="str">
        <f aca="false">IF(NOT(COUNTA($A477:$H477)&gt;0),"",IF(D477="","Missing category. ",IF(COUNTIF(Settings!$B$11:$B$40,D477)=0,"Category not in your list. ","")))</f>
        <v/>
      </c>
      <c r="N477" s="15" t="str">
        <f aca="false">IF(AND(ISNUMBER(A477),ISNUMBER(E477),B477&lt;&gt;""),IF(COUNTIFS($A$6:$A$505,A477,$B$6:$B$505,B477,$E$6:$E$505,E477)&gt;1,"Possible duplicate. ",""),"")</f>
        <v/>
      </c>
      <c r="O477" s="15" t="str">
        <f aca="false">IF(AND(ISNUMBER(E477),E477&gt;=Settings!$B$6,G477&lt;&gt;"Yes"),"Receipt not marked as saved. ","")</f>
        <v/>
      </c>
      <c r="P477" s="15" t="str">
        <f aca="false">IF(AND(ISNUMBER(E477),E477&gt;=Settings!$B$5),"Large amount: review. ","")</f>
        <v/>
      </c>
    </row>
    <row r="478" customFormat="false" ht="15" hidden="false" customHeight="false" outlineLevel="0" collapsed="false">
      <c r="A478" s="10"/>
      <c r="B478" s="11"/>
      <c r="C478" s="11"/>
      <c r="D478" s="11"/>
      <c r="E478" s="12"/>
      <c r="F478" s="11"/>
      <c r="G478" s="11"/>
      <c r="H478" s="11"/>
      <c r="I478" s="13" t="str">
        <f aca="false">IF(NOT(COUNTA($A478:$H478)&gt;0),"",IF(K478&amp;L478&amp;M478&lt;&gt;"","ERROR",IF(N478&amp;O478&amp;P478&lt;&gt;"","CHECK","OK")))</f>
        <v/>
      </c>
      <c r="J478" s="14" t="str">
        <f aca="false">TRIM(K478&amp;L478&amp;M478&amp;N478&amp;O478&amp;P478)</f>
        <v/>
      </c>
      <c r="K478" s="15" t="str">
        <f aca="true">IF(NOT(COUNTA($A478:$H478)&gt;0),"",IF(A478="","Missing date. ",IF(NOT(ISNUMBER(A478)),"Date is not a real date. ",IF(YEAR(A478)&lt;&gt;Settings!$B$4,"Date outside tax year. ",IF(A478&gt;TODAY(),"Date is in the future. ","")))))</f>
        <v/>
      </c>
      <c r="L478" s="15" t="str">
        <f aca="false">IF(NOT(COUNTA($A478:$H478)&gt;0),"",IF(E478="","Missing amount. ",IF(NOT(ISNUMBER(E478)),"Amount is not a number. ",IF(E478&lt;=0,"Amount must be above zero. ",""))))</f>
        <v/>
      </c>
      <c r="M478" s="15" t="str">
        <f aca="false">IF(NOT(COUNTA($A478:$H478)&gt;0),"",IF(D478="","Missing category. ",IF(COUNTIF(Settings!$B$11:$B$40,D478)=0,"Category not in your list. ","")))</f>
        <v/>
      </c>
      <c r="N478" s="15" t="str">
        <f aca="false">IF(AND(ISNUMBER(A478),ISNUMBER(E478),B478&lt;&gt;""),IF(COUNTIFS($A$6:$A$505,A478,$B$6:$B$505,B478,$E$6:$E$505,E478)&gt;1,"Possible duplicate. ",""),"")</f>
        <v/>
      </c>
      <c r="O478" s="15" t="str">
        <f aca="false">IF(AND(ISNUMBER(E478),E478&gt;=Settings!$B$6,G478&lt;&gt;"Yes"),"Receipt not marked as saved. ","")</f>
        <v/>
      </c>
      <c r="P478" s="15" t="str">
        <f aca="false">IF(AND(ISNUMBER(E478),E478&gt;=Settings!$B$5),"Large amount: review. ","")</f>
        <v/>
      </c>
    </row>
    <row r="479" customFormat="false" ht="15" hidden="false" customHeight="false" outlineLevel="0" collapsed="false">
      <c r="A479" s="10"/>
      <c r="B479" s="11"/>
      <c r="C479" s="11"/>
      <c r="D479" s="11"/>
      <c r="E479" s="12"/>
      <c r="F479" s="11"/>
      <c r="G479" s="11"/>
      <c r="H479" s="11"/>
      <c r="I479" s="13" t="str">
        <f aca="false">IF(NOT(COUNTA($A479:$H479)&gt;0),"",IF(K479&amp;L479&amp;M479&lt;&gt;"","ERROR",IF(N479&amp;O479&amp;P479&lt;&gt;"","CHECK","OK")))</f>
        <v/>
      </c>
      <c r="J479" s="14" t="str">
        <f aca="false">TRIM(K479&amp;L479&amp;M479&amp;N479&amp;O479&amp;P479)</f>
        <v/>
      </c>
      <c r="K479" s="15" t="str">
        <f aca="true">IF(NOT(COUNTA($A479:$H479)&gt;0),"",IF(A479="","Missing date. ",IF(NOT(ISNUMBER(A479)),"Date is not a real date. ",IF(YEAR(A479)&lt;&gt;Settings!$B$4,"Date outside tax year. ",IF(A479&gt;TODAY(),"Date is in the future. ","")))))</f>
        <v/>
      </c>
      <c r="L479" s="15" t="str">
        <f aca="false">IF(NOT(COUNTA($A479:$H479)&gt;0),"",IF(E479="","Missing amount. ",IF(NOT(ISNUMBER(E479)),"Amount is not a number. ",IF(E479&lt;=0,"Amount must be above zero. ",""))))</f>
        <v/>
      </c>
      <c r="M479" s="15" t="str">
        <f aca="false">IF(NOT(COUNTA($A479:$H479)&gt;0),"",IF(D479="","Missing category. ",IF(COUNTIF(Settings!$B$11:$B$40,D479)=0,"Category not in your list. ","")))</f>
        <v/>
      </c>
      <c r="N479" s="15" t="str">
        <f aca="false">IF(AND(ISNUMBER(A479),ISNUMBER(E479),B479&lt;&gt;""),IF(COUNTIFS($A$6:$A$505,A479,$B$6:$B$505,B479,$E$6:$E$505,E479)&gt;1,"Possible duplicate. ",""),"")</f>
        <v/>
      </c>
      <c r="O479" s="15" t="str">
        <f aca="false">IF(AND(ISNUMBER(E479),E479&gt;=Settings!$B$6,G479&lt;&gt;"Yes"),"Receipt not marked as saved. ","")</f>
        <v/>
      </c>
      <c r="P479" s="15" t="str">
        <f aca="false">IF(AND(ISNUMBER(E479),E479&gt;=Settings!$B$5),"Large amount: review. ","")</f>
        <v/>
      </c>
    </row>
    <row r="480" customFormat="false" ht="15" hidden="false" customHeight="false" outlineLevel="0" collapsed="false">
      <c r="A480" s="10"/>
      <c r="B480" s="11"/>
      <c r="C480" s="11"/>
      <c r="D480" s="11"/>
      <c r="E480" s="12"/>
      <c r="F480" s="11"/>
      <c r="G480" s="11"/>
      <c r="H480" s="11"/>
      <c r="I480" s="13" t="str">
        <f aca="false">IF(NOT(COUNTA($A480:$H480)&gt;0),"",IF(K480&amp;L480&amp;M480&lt;&gt;"","ERROR",IF(N480&amp;O480&amp;P480&lt;&gt;"","CHECK","OK")))</f>
        <v/>
      </c>
      <c r="J480" s="14" t="str">
        <f aca="false">TRIM(K480&amp;L480&amp;M480&amp;N480&amp;O480&amp;P480)</f>
        <v/>
      </c>
      <c r="K480" s="15" t="str">
        <f aca="true">IF(NOT(COUNTA($A480:$H480)&gt;0),"",IF(A480="","Missing date. ",IF(NOT(ISNUMBER(A480)),"Date is not a real date. ",IF(YEAR(A480)&lt;&gt;Settings!$B$4,"Date outside tax year. ",IF(A480&gt;TODAY(),"Date is in the future. ","")))))</f>
        <v/>
      </c>
      <c r="L480" s="15" t="str">
        <f aca="false">IF(NOT(COUNTA($A480:$H480)&gt;0),"",IF(E480="","Missing amount. ",IF(NOT(ISNUMBER(E480)),"Amount is not a number. ",IF(E480&lt;=0,"Amount must be above zero. ",""))))</f>
        <v/>
      </c>
      <c r="M480" s="15" t="str">
        <f aca="false">IF(NOT(COUNTA($A480:$H480)&gt;0),"",IF(D480="","Missing category. ",IF(COUNTIF(Settings!$B$11:$B$40,D480)=0,"Category not in your list. ","")))</f>
        <v/>
      </c>
      <c r="N480" s="15" t="str">
        <f aca="false">IF(AND(ISNUMBER(A480),ISNUMBER(E480),B480&lt;&gt;""),IF(COUNTIFS($A$6:$A$505,A480,$B$6:$B$505,B480,$E$6:$E$505,E480)&gt;1,"Possible duplicate. ",""),"")</f>
        <v/>
      </c>
      <c r="O480" s="15" t="str">
        <f aca="false">IF(AND(ISNUMBER(E480),E480&gt;=Settings!$B$6,G480&lt;&gt;"Yes"),"Receipt not marked as saved. ","")</f>
        <v/>
      </c>
      <c r="P480" s="15" t="str">
        <f aca="false">IF(AND(ISNUMBER(E480),E480&gt;=Settings!$B$5),"Large amount: review. ","")</f>
        <v/>
      </c>
    </row>
    <row r="481" customFormat="false" ht="15" hidden="false" customHeight="false" outlineLevel="0" collapsed="false">
      <c r="A481" s="10"/>
      <c r="B481" s="11"/>
      <c r="C481" s="11"/>
      <c r="D481" s="11"/>
      <c r="E481" s="12"/>
      <c r="F481" s="11"/>
      <c r="G481" s="11"/>
      <c r="H481" s="11"/>
      <c r="I481" s="13" t="str">
        <f aca="false">IF(NOT(COUNTA($A481:$H481)&gt;0),"",IF(K481&amp;L481&amp;M481&lt;&gt;"","ERROR",IF(N481&amp;O481&amp;P481&lt;&gt;"","CHECK","OK")))</f>
        <v/>
      </c>
      <c r="J481" s="14" t="str">
        <f aca="false">TRIM(K481&amp;L481&amp;M481&amp;N481&amp;O481&amp;P481)</f>
        <v/>
      </c>
      <c r="K481" s="15" t="str">
        <f aca="true">IF(NOT(COUNTA($A481:$H481)&gt;0),"",IF(A481="","Missing date. ",IF(NOT(ISNUMBER(A481)),"Date is not a real date. ",IF(YEAR(A481)&lt;&gt;Settings!$B$4,"Date outside tax year. ",IF(A481&gt;TODAY(),"Date is in the future. ","")))))</f>
        <v/>
      </c>
      <c r="L481" s="15" t="str">
        <f aca="false">IF(NOT(COUNTA($A481:$H481)&gt;0),"",IF(E481="","Missing amount. ",IF(NOT(ISNUMBER(E481)),"Amount is not a number. ",IF(E481&lt;=0,"Amount must be above zero. ",""))))</f>
        <v/>
      </c>
      <c r="M481" s="15" t="str">
        <f aca="false">IF(NOT(COUNTA($A481:$H481)&gt;0),"",IF(D481="","Missing category. ",IF(COUNTIF(Settings!$B$11:$B$40,D481)=0,"Category not in your list. ","")))</f>
        <v/>
      </c>
      <c r="N481" s="15" t="str">
        <f aca="false">IF(AND(ISNUMBER(A481),ISNUMBER(E481),B481&lt;&gt;""),IF(COUNTIFS($A$6:$A$505,A481,$B$6:$B$505,B481,$E$6:$E$505,E481)&gt;1,"Possible duplicate. ",""),"")</f>
        <v/>
      </c>
      <c r="O481" s="15" t="str">
        <f aca="false">IF(AND(ISNUMBER(E481),E481&gt;=Settings!$B$6,G481&lt;&gt;"Yes"),"Receipt not marked as saved. ","")</f>
        <v/>
      </c>
      <c r="P481" s="15" t="str">
        <f aca="false">IF(AND(ISNUMBER(E481),E481&gt;=Settings!$B$5),"Large amount: review. ","")</f>
        <v/>
      </c>
    </row>
    <row r="482" customFormat="false" ht="15" hidden="false" customHeight="false" outlineLevel="0" collapsed="false">
      <c r="A482" s="10"/>
      <c r="B482" s="11"/>
      <c r="C482" s="11"/>
      <c r="D482" s="11"/>
      <c r="E482" s="12"/>
      <c r="F482" s="11"/>
      <c r="G482" s="11"/>
      <c r="H482" s="11"/>
      <c r="I482" s="13" t="str">
        <f aca="false">IF(NOT(COUNTA($A482:$H482)&gt;0),"",IF(K482&amp;L482&amp;M482&lt;&gt;"","ERROR",IF(N482&amp;O482&amp;P482&lt;&gt;"","CHECK","OK")))</f>
        <v/>
      </c>
      <c r="J482" s="14" t="str">
        <f aca="false">TRIM(K482&amp;L482&amp;M482&amp;N482&amp;O482&amp;P482)</f>
        <v/>
      </c>
      <c r="K482" s="15" t="str">
        <f aca="true">IF(NOT(COUNTA($A482:$H482)&gt;0),"",IF(A482="","Missing date. ",IF(NOT(ISNUMBER(A482)),"Date is not a real date. ",IF(YEAR(A482)&lt;&gt;Settings!$B$4,"Date outside tax year. ",IF(A482&gt;TODAY(),"Date is in the future. ","")))))</f>
        <v/>
      </c>
      <c r="L482" s="15" t="str">
        <f aca="false">IF(NOT(COUNTA($A482:$H482)&gt;0),"",IF(E482="","Missing amount. ",IF(NOT(ISNUMBER(E482)),"Amount is not a number. ",IF(E482&lt;=0,"Amount must be above zero. ",""))))</f>
        <v/>
      </c>
      <c r="M482" s="15" t="str">
        <f aca="false">IF(NOT(COUNTA($A482:$H482)&gt;0),"",IF(D482="","Missing category. ",IF(COUNTIF(Settings!$B$11:$B$40,D482)=0,"Category not in your list. ","")))</f>
        <v/>
      </c>
      <c r="N482" s="15" t="str">
        <f aca="false">IF(AND(ISNUMBER(A482),ISNUMBER(E482),B482&lt;&gt;""),IF(COUNTIFS($A$6:$A$505,A482,$B$6:$B$505,B482,$E$6:$E$505,E482)&gt;1,"Possible duplicate. ",""),"")</f>
        <v/>
      </c>
      <c r="O482" s="15" t="str">
        <f aca="false">IF(AND(ISNUMBER(E482),E482&gt;=Settings!$B$6,G482&lt;&gt;"Yes"),"Receipt not marked as saved. ","")</f>
        <v/>
      </c>
      <c r="P482" s="15" t="str">
        <f aca="false">IF(AND(ISNUMBER(E482),E482&gt;=Settings!$B$5),"Large amount: review. ","")</f>
        <v/>
      </c>
    </row>
    <row r="483" customFormat="false" ht="15" hidden="false" customHeight="false" outlineLevel="0" collapsed="false">
      <c r="A483" s="10"/>
      <c r="B483" s="11"/>
      <c r="C483" s="11"/>
      <c r="D483" s="11"/>
      <c r="E483" s="12"/>
      <c r="F483" s="11"/>
      <c r="G483" s="11"/>
      <c r="H483" s="11"/>
      <c r="I483" s="13" t="str">
        <f aca="false">IF(NOT(COUNTA($A483:$H483)&gt;0),"",IF(K483&amp;L483&amp;M483&lt;&gt;"","ERROR",IF(N483&amp;O483&amp;P483&lt;&gt;"","CHECK","OK")))</f>
        <v/>
      </c>
      <c r="J483" s="14" t="str">
        <f aca="false">TRIM(K483&amp;L483&amp;M483&amp;N483&amp;O483&amp;P483)</f>
        <v/>
      </c>
      <c r="K483" s="15" t="str">
        <f aca="true">IF(NOT(COUNTA($A483:$H483)&gt;0),"",IF(A483="","Missing date. ",IF(NOT(ISNUMBER(A483)),"Date is not a real date. ",IF(YEAR(A483)&lt;&gt;Settings!$B$4,"Date outside tax year. ",IF(A483&gt;TODAY(),"Date is in the future. ","")))))</f>
        <v/>
      </c>
      <c r="L483" s="15" t="str">
        <f aca="false">IF(NOT(COUNTA($A483:$H483)&gt;0),"",IF(E483="","Missing amount. ",IF(NOT(ISNUMBER(E483)),"Amount is not a number. ",IF(E483&lt;=0,"Amount must be above zero. ",""))))</f>
        <v/>
      </c>
      <c r="M483" s="15" t="str">
        <f aca="false">IF(NOT(COUNTA($A483:$H483)&gt;0),"",IF(D483="","Missing category. ",IF(COUNTIF(Settings!$B$11:$B$40,D483)=0,"Category not in your list. ","")))</f>
        <v/>
      </c>
      <c r="N483" s="15" t="str">
        <f aca="false">IF(AND(ISNUMBER(A483),ISNUMBER(E483),B483&lt;&gt;""),IF(COUNTIFS($A$6:$A$505,A483,$B$6:$B$505,B483,$E$6:$E$505,E483)&gt;1,"Possible duplicate. ",""),"")</f>
        <v/>
      </c>
      <c r="O483" s="15" t="str">
        <f aca="false">IF(AND(ISNUMBER(E483),E483&gt;=Settings!$B$6,G483&lt;&gt;"Yes"),"Receipt not marked as saved. ","")</f>
        <v/>
      </c>
      <c r="P483" s="15" t="str">
        <f aca="false">IF(AND(ISNUMBER(E483),E483&gt;=Settings!$B$5),"Large amount: review. ","")</f>
        <v/>
      </c>
    </row>
    <row r="484" customFormat="false" ht="15" hidden="false" customHeight="false" outlineLevel="0" collapsed="false">
      <c r="A484" s="10"/>
      <c r="B484" s="11"/>
      <c r="C484" s="11"/>
      <c r="D484" s="11"/>
      <c r="E484" s="12"/>
      <c r="F484" s="11"/>
      <c r="G484" s="11"/>
      <c r="H484" s="11"/>
      <c r="I484" s="13" t="str">
        <f aca="false">IF(NOT(COUNTA($A484:$H484)&gt;0),"",IF(K484&amp;L484&amp;M484&lt;&gt;"","ERROR",IF(N484&amp;O484&amp;P484&lt;&gt;"","CHECK","OK")))</f>
        <v/>
      </c>
      <c r="J484" s="14" t="str">
        <f aca="false">TRIM(K484&amp;L484&amp;M484&amp;N484&amp;O484&amp;P484)</f>
        <v/>
      </c>
      <c r="K484" s="15" t="str">
        <f aca="true">IF(NOT(COUNTA($A484:$H484)&gt;0),"",IF(A484="","Missing date. ",IF(NOT(ISNUMBER(A484)),"Date is not a real date. ",IF(YEAR(A484)&lt;&gt;Settings!$B$4,"Date outside tax year. ",IF(A484&gt;TODAY(),"Date is in the future. ","")))))</f>
        <v/>
      </c>
      <c r="L484" s="15" t="str">
        <f aca="false">IF(NOT(COUNTA($A484:$H484)&gt;0),"",IF(E484="","Missing amount. ",IF(NOT(ISNUMBER(E484)),"Amount is not a number. ",IF(E484&lt;=0,"Amount must be above zero. ",""))))</f>
        <v/>
      </c>
      <c r="M484" s="15" t="str">
        <f aca="false">IF(NOT(COUNTA($A484:$H484)&gt;0),"",IF(D484="","Missing category. ",IF(COUNTIF(Settings!$B$11:$B$40,D484)=0,"Category not in your list. ","")))</f>
        <v/>
      </c>
      <c r="N484" s="15" t="str">
        <f aca="false">IF(AND(ISNUMBER(A484),ISNUMBER(E484),B484&lt;&gt;""),IF(COUNTIFS($A$6:$A$505,A484,$B$6:$B$505,B484,$E$6:$E$505,E484)&gt;1,"Possible duplicate. ",""),"")</f>
        <v/>
      </c>
      <c r="O484" s="15" t="str">
        <f aca="false">IF(AND(ISNUMBER(E484),E484&gt;=Settings!$B$6,G484&lt;&gt;"Yes"),"Receipt not marked as saved. ","")</f>
        <v/>
      </c>
      <c r="P484" s="15" t="str">
        <f aca="false">IF(AND(ISNUMBER(E484),E484&gt;=Settings!$B$5),"Large amount: review. ","")</f>
        <v/>
      </c>
    </row>
    <row r="485" customFormat="false" ht="15" hidden="false" customHeight="false" outlineLevel="0" collapsed="false">
      <c r="A485" s="10"/>
      <c r="B485" s="11"/>
      <c r="C485" s="11"/>
      <c r="D485" s="11"/>
      <c r="E485" s="12"/>
      <c r="F485" s="11"/>
      <c r="G485" s="11"/>
      <c r="H485" s="11"/>
      <c r="I485" s="13" t="str">
        <f aca="false">IF(NOT(COUNTA($A485:$H485)&gt;0),"",IF(K485&amp;L485&amp;M485&lt;&gt;"","ERROR",IF(N485&amp;O485&amp;P485&lt;&gt;"","CHECK","OK")))</f>
        <v/>
      </c>
      <c r="J485" s="14" t="str">
        <f aca="false">TRIM(K485&amp;L485&amp;M485&amp;N485&amp;O485&amp;P485)</f>
        <v/>
      </c>
      <c r="K485" s="15" t="str">
        <f aca="true">IF(NOT(COUNTA($A485:$H485)&gt;0),"",IF(A485="","Missing date. ",IF(NOT(ISNUMBER(A485)),"Date is not a real date. ",IF(YEAR(A485)&lt;&gt;Settings!$B$4,"Date outside tax year. ",IF(A485&gt;TODAY(),"Date is in the future. ","")))))</f>
        <v/>
      </c>
      <c r="L485" s="15" t="str">
        <f aca="false">IF(NOT(COUNTA($A485:$H485)&gt;0),"",IF(E485="","Missing amount. ",IF(NOT(ISNUMBER(E485)),"Amount is not a number. ",IF(E485&lt;=0,"Amount must be above zero. ",""))))</f>
        <v/>
      </c>
      <c r="M485" s="15" t="str">
        <f aca="false">IF(NOT(COUNTA($A485:$H485)&gt;0),"",IF(D485="","Missing category. ",IF(COUNTIF(Settings!$B$11:$B$40,D485)=0,"Category not in your list. ","")))</f>
        <v/>
      </c>
      <c r="N485" s="15" t="str">
        <f aca="false">IF(AND(ISNUMBER(A485),ISNUMBER(E485),B485&lt;&gt;""),IF(COUNTIFS($A$6:$A$505,A485,$B$6:$B$505,B485,$E$6:$E$505,E485)&gt;1,"Possible duplicate. ",""),"")</f>
        <v/>
      </c>
      <c r="O485" s="15" t="str">
        <f aca="false">IF(AND(ISNUMBER(E485),E485&gt;=Settings!$B$6,G485&lt;&gt;"Yes"),"Receipt not marked as saved. ","")</f>
        <v/>
      </c>
      <c r="P485" s="15" t="str">
        <f aca="false">IF(AND(ISNUMBER(E485),E485&gt;=Settings!$B$5),"Large amount: review. ","")</f>
        <v/>
      </c>
    </row>
    <row r="486" customFormat="false" ht="15" hidden="false" customHeight="false" outlineLevel="0" collapsed="false">
      <c r="A486" s="10"/>
      <c r="B486" s="11"/>
      <c r="C486" s="11"/>
      <c r="D486" s="11"/>
      <c r="E486" s="12"/>
      <c r="F486" s="11"/>
      <c r="G486" s="11"/>
      <c r="H486" s="11"/>
      <c r="I486" s="13" t="str">
        <f aca="false">IF(NOT(COUNTA($A486:$H486)&gt;0),"",IF(K486&amp;L486&amp;M486&lt;&gt;"","ERROR",IF(N486&amp;O486&amp;P486&lt;&gt;"","CHECK","OK")))</f>
        <v/>
      </c>
      <c r="J486" s="14" t="str">
        <f aca="false">TRIM(K486&amp;L486&amp;M486&amp;N486&amp;O486&amp;P486)</f>
        <v/>
      </c>
      <c r="K486" s="15" t="str">
        <f aca="true">IF(NOT(COUNTA($A486:$H486)&gt;0),"",IF(A486="","Missing date. ",IF(NOT(ISNUMBER(A486)),"Date is not a real date. ",IF(YEAR(A486)&lt;&gt;Settings!$B$4,"Date outside tax year. ",IF(A486&gt;TODAY(),"Date is in the future. ","")))))</f>
        <v/>
      </c>
      <c r="L486" s="15" t="str">
        <f aca="false">IF(NOT(COUNTA($A486:$H486)&gt;0),"",IF(E486="","Missing amount. ",IF(NOT(ISNUMBER(E486)),"Amount is not a number. ",IF(E486&lt;=0,"Amount must be above zero. ",""))))</f>
        <v/>
      </c>
      <c r="M486" s="15" t="str">
        <f aca="false">IF(NOT(COUNTA($A486:$H486)&gt;0),"",IF(D486="","Missing category. ",IF(COUNTIF(Settings!$B$11:$B$40,D486)=0,"Category not in your list. ","")))</f>
        <v/>
      </c>
      <c r="N486" s="15" t="str">
        <f aca="false">IF(AND(ISNUMBER(A486),ISNUMBER(E486),B486&lt;&gt;""),IF(COUNTIFS($A$6:$A$505,A486,$B$6:$B$505,B486,$E$6:$E$505,E486)&gt;1,"Possible duplicate. ",""),"")</f>
        <v/>
      </c>
      <c r="O486" s="15" t="str">
        <f aca="false">IF(AND(ISNUMBER(E486),E486&gt;=Settings!$B$6,G486&lt;&gt;"Yes"),"Receipt not marked as saved. ","")</f>
        <v/>
      </c>
      <c r="P486" s="15" t="str">
        <f aca="false">IF(AND(ISNUMBER(E486),E486&gt;=Settings!$B$5),"Large amount: review. ","")</f>
        <v/>
      </c>
    </row>
    <row r="487" customFormat="false" ht="15" hidden="false" customHeight="false" outlineLevel="0" collapsed="false">
      <c r="A487" s="10"/>
      <c r="B487" s="11"/>
      <c r="C487" s="11"/>
      <c r="D487" s="11"/>
      <c r="E487" s="12"/>
      <c r="F487" s="11"/>
      <c r="G487" s="11"/>
      <c r="H487" s="11"/>
      <c r="I487" s="13" t="str">
        <f aca="false">IF(NOT(COUNTA($A487:$H487)&gt;0),"",IF(K487&amp;L487&amp;M487&lt;&gt;"","ERROR",IF(N487&amp;O487&amp;P487&lt;&gt;"","CHECK","OK")))</f>
        <v/>
      </c>
      <c r="J487" s="14" t="str">
        <f aca="false">TRIM(K487&amp;L487&amp;M487&amp;N487&amp;O487&amp;P487)</f>
        <v/>
      </c>
      <c r="K487" s="15" t="str">
        <f aca="true">IF(NOT(COUNTA($A487:$H487)&gt;0),"",IF(A487="","Missing date. ",IF(NOT(ISNUMBER(A487)),"Date is not a real date. ",IF(YEAR(A487)&lt;&gt;Settings!$B$4,"Date outside tax year. ",IF(A487&gt;TODAY(),"Date is in the future. ","")))))</f>
        <v/>
      </c>
      <c r="L487" s="15" t="str">
        <f aca="false">IF(NOT(COUNTA($A487:$H487)&gt;0),"",IF(E487="","Missing amount. ",IF(NOT(ISNUMBER(E487)),"Amount is not a number. ",IF(E487&lt;=0,"Amount must be above zero. ",""))))</f>
        <v/>
      </c>
      <c r="M487" s="15" t="str">
        <f aca="false">IF(NOT(COUNTA($A487:$H487)&gt;0),"",IF(D487="","Missing category. ",IF(COUNTIF(Settings!$B$11:$B$40,D487)=0,"Category not in your list. ","")))</f>
        <v/>
      </c>
      <c r="N487" s="15" t="str">
        <f aca="false">IF(AND(ISNUMBER(A487),ISNUMBER(E487),B487&lt;&gt;""),IF(COUNTIFS($A$6:$A$505,A487,$B$6:$B$505,B487,$E$6:$E$505,E487)&gt;1,"Possible duplicate. ",""),"")</f>
        <v/>
      </c>
      <c r="O487" s="15" t="str">
        <f aca="false">IF(AND(ISNUMBER(E487),E487&gt;=Settings!$B$6,G487&lt;&gt;"Yes"),"Receipt not marked as saved. ","")</f>
        <v/>
      </c>
      <c r="P487" s="15" t="str">
        <f aca="false">IF(AND(ISNUMBER(E487),E487&gt;=Settings!$B$5),"Large amount: review. ","")</f>
        <v/>
      </c>
    </row>
    <row r="488" customFormat="false" ht="15" hidden="false" customHeight="false" outlineLevel="0" collapsed="false">
      <c r="A488" s="10"/>
      <c r="B488" s="11"/>
      <c r="C488" s="11"/>
      <c r="D488" s="11"/>
      <c r="E488" s="12"/>
      <c r="F488" s="11"/>
      <c r="G488" s="11"/>
      <c r="H488" s="11"/>
      <c r="I488" s="13" t="str">
        <f aca="false">IF(NOT(COUNTA($A488:$H488)&gt;0),"",IF(K488&amp;L488&amp;M488&lt;&gt;"","ERROR",IF(N488&amp;O488&amp;P488&lt;&gt;"","CHECK","OK")))</f>
        <v/>
      </c>
      <c r="J488" s="14" t="str">
        <f aca="false">TRIM(K488&amp;L488&amp;M488&amp;N488&amp;O488&amp;P488)</f>
        <v/>
      </c>
      <c r="K488" s="15" t="str">
        <f aca="true">IF(NOT(COUNTA($A488:$H488)&gt;0),"",IF(A488="","Missing date. ",IF(NOT(ISNUMBER(A488)),"Date is not a real date. ",IF(YEAR(A488)&lt;&gt;Settings!$B$4,"Date outside tax year. ",IF(A488&gt;TODAY(),"Date is in the future. ","")))))</f>
        <v/>
      </c>
      <c r="L488" s="15" t="str">
        <f aca="false">IF(NOT(COUNTA($A488:$H488)&gt;0),"",IF(E488="","Missing amount. ",IF(NOT(ISNUMBER(E488)),"Amount is not a number. ",IF(E488&lt;=0,"Amount must be above zero. ",""))))</f>
        <v/>
      </c>
      <c r="M488" s="15" t="str">
        <f aca="false">IF(NOT(COUNTA($A488:$H488)&gt;0),"",IF(D488="","Missing category. ",IF(COUNTIF(Settings!$B$11:$B$40,D488)=0,"Category not in your list. ","")))</f>
        <v/>
      </c>
      <c r="N488" s="15" t="str">
        <f aca="false">IF(AND(ISNUMBER(A488),ISNUMBER(E488),B488&lt;&gt;""),IF(COUNTIFS($A$6:$A$505,A488,$B$6:$B$505,B488,$E$6:$E$505,E488)&gt;1,"Possible duplicate. ",""),"")</f>
        <v/>
      </c>
      <c r="O488" s="15" t="str">
        <f aca="false">IF(AND(ISNUMBER(E488),E488&gt;=Settings!$B$6,G488&lt;&gt;"Yes"),"Receipt not marked as saved. ","")</f>
        <v/>
      </c>
      <c r="P488" s="15" t="str">
        <f aca="false">IF(AND(ISNUMBER(E488),E488&gt;=Settings!$B$5),"Large amount: review. ","")</f>
        <v/>
      </c>
    </row>
    <row r="489" customFormat="false" ht="15" hidden="false" customHeight="false" outlineLevel="0" collapsed="false">
      <c r="A489" s="10"/>
      <c r="B489" s="11"/>
      <c r="C489" s="11"/>
      <c r="D489" s="11"/>
      <c r="E489" s="12"/>
      <c r="F489" s="11"/>
      <c r="G489" s="11"/>
      <c r="H489" s="11"/>
      <c r="I489" s="13" t="str">
        <f aca="false">IF(NOT(COUNTA($A489:$H489)&gt;0),"",IF(K489&amp;L489&amp;M489&lt;&gt;"","ERROR",IF(N489&amp;O489&amp;P489&lt;&gt;"","CHECK","OK")))</f>
        <v/>
      </c>
      <c r="J489" s="14" t="str">
        <f aca="false">TRIM(K489&amp;L489&amp;M489&amp;N489&amp;O489&amp;P489)</f>
        <v/>
      </c>
      <c r="K489" s="15" t="str">
        <f aca="true">IF(NOT(COUNTA($A489:$H489)&gt;0),"",IF(A489="","Missing date. ",IF(NOT(ISNUMBER(A489)),"Date is not a real date. ",IF(YEAR(A489)&lt;&gt;Settings!$B$4,"Date outside tax year. ",IF(A489&gt;TODAY(),"Date is in the future. ","")))))</f>
        <v/>
      </c>
      <c r="L489" s="15" t="str">
        <f aca="false">IF(NOT(COUNTA($A489:$H489)&gt;0),"",IF(E489="","Missing amount. ",IF(NOT(ISNUMBER(E489)),"Amount is not a number. ",IF(E489&lt;=0,"Amount must be above zero. ",""))))</f>
        <v/>
      </c>
      <c r="M489" s="15" t="str">
        <f aca="false">IF(NOT(COUNTA($A489:$H489)&gt;0),"",IF(D489="","Missing category. ",IF(COUNTIF(Settings!$B$11:$B$40,D489)=0,"Category not in your list. ","")))</f>
        <v/>
      </c>
      <c r="N489" s="15" t="str">
        <f aca="false">IF(AND(ISNUMBER(A489),ISNUMBER(E489),B489&lt;&gt;""),IF(COUNTIFS($A$6:$A$505,A489,$B$6:$B$505,B489,$E$6:$E$505,E489)&gt;1,"Possible duplicate. ",""),"")</f>
        <v/>
      </c>
      <c r="O489" s="15" t="str">
        <f aca="false">IF(AND(ISNUMBER(E489),E489&gt;=Settings!$B$6,G489&lt;&gt;"Yes"),"Receipt not marked as saved. ","")</f>
        <v/>
      </c>
      <c r="P489" s="15" t="str">
        <f aca="false">IF(AND(ISNUMBER(E489),E489&gt;=Settings!$B$5),"Large amount: review. ","")</f>
        <v/>
      </c>
    </row>
    <row r="490" customFormat="false" ht="15" hidden="false" customHeight="false" outlineLevel="0" collapsed="false">
      <c r="A490" s="10"/>
      <c r="B490" s="11"/>
      <c r="C490" s="11"/>
      <c r="D490" s="11"/>
      <c r="E490" s="12"/>
      <c r="F490" s="11"/>
      <c r="G490" s="11"/>
      <c r="H490" s="11"/>
      <c r="I490" s="13" t="str">
        <f aca="false">IF(NOT(COUNTA($A490:$H490)&gt;0),"",IF(K490&amp;L490&amp;M490&lt;&gt;"","ERROR",IF(N490&amp;O490&amp;P490&lt;&gt;"","CHECK","OK")))</f>
        <v/>
      </c>
      <c r="J490" s="14" t="str">
        <f aca="false">TRIM(K490&amp;L490&amp;M490&amp;N490&amp;O490&amp;P490)</f>
        <v/>
      </c>
      <c r="K490" s="15" t="str">
        <f aca="true">IF(NOT(COUNTA($A490:$H490)&gt;0),"",IF(A490="","Missing date. ",IF(NOT(ISNUMBER(A490)),"Date is not a real date. ",IF(YEAR(A490)&lt;&gt;Settings!$B$4,"Date outside tax year. ",IF(A490&gt;TODAY(),"Date is in the future. ","")))))</f>
        <v/>
      </c>
      <c r="L490" s="15" t="str">
        <f aca="false">IF(NOT(COUNTA($A490:$H490)&gt;0),"",IF(E490="","Missing amount. ",IF(NOT(ISNUMBER(E490)),"Amount is not a number. ",IF(E490&lt;=0,"Amount must be above zero. ",""))))</f>
        <v/>
      </c>
      <c r="M490" s="15" t="str">
        <f aca="false">IF(NOT(COUNTA($A490:$H490)&gt;0),"",IF(D490="","Missing category. ",IF(COUNTIF(Settings!$B$11:$B$40,D490)=0,"Category not in your list. ","")))</f>
        <v/>
      </c>
      <c r="N490" s="15" t="str">
        <f aca="false">IF(AND(ISNUMBER(A490),ISNUMBER(E490),B490&lt;&gt;""),IF(COUNTIFS($A$6:$A$505,A490,$B$6:$B$505,B490,$E$6:$E$505,E490)&gt;1,"Possible duplicate. ",""),"")</f>
        <v/>
      </c>
      <c r="O490" s="15" t="str">
        <f aca="false">IF(AND(ISNUMBER(E490),E490&gt;=Settings!$B$6,G490&lt;&gt;"Yes"),"Receipt not marked as saved. ","")</f>
        <v/>
      </c>
      <c r="P490" s="15" t="str">
        <f aca="false">IF(AND(ISNUMBER(E490),E490&gt;=Settings!$B$5),"Large amount: review. ","")</f>
        <v/>
      </c>
    </row>
    <row r="491" customFormat="false" ht="15" hidden="false" customHeight="false" outlineLevel="0" collapsed="false">
      <c r="A491" s="10"/>
      <c r="B491" s="11"/>
      <c r="C491" s="11"/>
      <c r="D491" s="11"/>
      <c r="E491" s="12"/>
      <c r="F491" s="11"/>
      <c r="G491" s="11"/>
      <c r="H491" s="11"/>
      <c r="I491" s="13" t="str">
        <f aca="false">IF(NOT(COUNTA($A491:$H491)&gt;0),"",IF(K491&amp;L491&amp;M491&lt;&gt;"","ERROR",IF(N491&amp;O491&amp;P491&lt;&gt;"","CHECK","OK")))</f>
        <v/>
      </c>
      <c r="J491" s="14" t="str">
        <f aca="false">TRIM(K491&amp;L491&amp;M491&amp;N491&amp;O491&amp;P491)</f>
        <v/>
      </c>
      <c r="K491" s="15" t="str">
        <f aca="true">IF(NOT(COUNTA($A491:$H491)&gt;0),"",IF(A491="","Missing date. ",IF(NOT(ISNUMBER(A491)),"Date is not a real date. ",IF(YEAR(A491)&lt;&gt;Settings!$B$4,"Date outside tax year. ",IF(A491&gt;TODAY(),"Date is in the future. ","")))))</f>
        <v/>
      </c>
      <c r="L491" s="15" t="str">
        <f aca="false">IF(NOT(COUNTA($A491:$H491)&gt;0),"",IF(E491="","Missing amount. ",IF(NOT(ISNUMBER(E491)),"Amount is not a number. ",IF(E491&lt;=0,"Amount must be above zero. ",""))))</f>
        <v/>
      </c>
      <c r="M491" s="15" t="str">
        <f aca="false">IF(NOT(COUNTA($A491:$H491)&gt;0),"",IF(D491="","Missing category. ",IF(COUNTIF(Settings!$B$11:$B$40,D491)=0,"Category not in your list. ","")))</f>
        <v/>
      </c>
      <c r="N491" s="15" t="str">
        <f aca="false">IF(AND(ISNUMBER(A491),ISNUMBER(E491),B491&lt;&gt;""),IF(COUNTIFS($A$6:$A$505,A491,$B$6:$B$505,B491,$E$6:$E$505,E491)&gt;1,"Possible duplicate. ",""),"")</f>
        <v/>
      </c>
      <c r="O491" s="15" t="str">
        <f aca="false">IF(AND(ISNUMBER(E491),E491&gt;=Settings!$B$6,G491&lt;&gt;"Yes"),"Receipt not marked as saved. ","")</f>
        <v/>
      </c>
      <c r="P491" s="15" t="str">
        <f aca="false">IF(AND(ISNUMBER(E491),E491&gt;=Settings!$B$5),"Large amount: review. ","")</f>
        <v/>
      </c>
    </row>
    <row r="492" customFormat="false" ht="15" hidden="false" customHeight="false" outlineLevel="0" collapsed="false">
      <c r="A492" s="10"/>
      <c r="B492" s="11"/>
      <c r="C492" s="11"/>
      <c r="D492" s="11"/>
      <c r="E492" s="12"/>
      <c r="F492" s="11"/>
      <c r="G492" s="11"/>
      <c r="H492" s="11"/>
      <c r="I492" s="13" t="str">
        <f aca="false">IF(NOT(COUNTA($A492:$H492)&gt;0),"",IF(K492&amp;L492&amp;M492&lt;&gt;"","ERROR",IF(N492&amp;O492&amp;P492&lt;&gt;"","CHECK","OK")))</f>
        <v/>
      </c>
      <c r="J492" s="14" t="str">
        <f aca="false">TRIM(K492&amp;L492&amp;M492&amp;N492&amp;O492&amp;P492)</f>
        <v/>
      </c>
      <c r="K492" s="15" t="str">
        <f aca="true">IF(NOT(COUNTA($A492:$H492)&gt;0),"",IF(A492="","Missing date. ",IF(NOT(ISNUMBER(A492)),"Date is not a real date. ",IF(YEAR(A492)&lt;&gt;Settings!$B$4,"Date outside tax year. ",IF(A492&gt;TODAY(),"Date is in the future. ","")))))</f>
        <v/>
      </c>
      <c r="L492" s="15" t="str">
        <f aca="false">IF(NOT(COUNTA($A492:$H492)&gt;0),"",IF(E492="","Missing amount. ",IF(NOT(ISNUMBER(E492)),"Amount is not a number. ",IF(E492&lt;=0,"Amount must be above zero. ",""))))</f>
        <v/>
      </c>
      <c r="M492" s="15" t="str">
        <f aca="false">IF(NOT(COUNTA($A492:$H492)&gt;0),"",IF(D492="","Missing category. ",IF(COUNTIF(Settings!$B$11:$B$40,D492)=0,"Category not in your list. ","")))</f>
        <v/>
      </c>
      <c r="N492" s="15" t="str">
        <f aca="false">IF(AND(ISNUMBER(A492),ISNUMBER(E492),B492&lt;&gt;""),IF(COUNTIFS($A$6:$A$505,A492,$B$6:$B$505,B492,$E$6:$E$505,E492)&gt;1,"Possible duplicate. ",""),"")</f>
        <v/>
      </c>
      <c r="O492" s="15" t="str">
        <f aca="false">IF(AND(ISNUMBER(E492),E492&gt;=Settings!$B$6,G492&lt;&gt;"Yes"),"Receipt not marked as saved. ","")</f>
        <v/>
      </c>
      <c r="P492" s="15" t="str">
        <f aca="false">IF(AND(ISNUMBER(E492),E492&gt;=Settings!$B$5),"Large amount: review. ","")</f>
        <v/>
      </c>
    </row>
    <row r="493" customFormat="false" ht="15" hidden="false" customHeight="false" outlineLevel="0" collapsed="false">
      <c r="A493" s="10"/>
      <c r="B493" s="11"/>
      <c r="C493" s="11"/>
      <c r="D493" s="11"/>
      <c r="E493" s="12"/>
      <c r="F493" s="11"/>
      <c r="G493" s="11"/>
      <c r="H493" s="11"/>
      <c r="I493" s="13" t="str">
        <f aca="false">IF(NOT(COUNTA($A493:$H493)&gt;0),"",IF(K493&amp;L493&amp;M493&lt;&gt;"","ERROR",IF(N493&amp;O493&amp;P493&lt;&gt;"","CHECK","OK")))</f>
        <v/>
      </c>
      <c r="J493" s="14" t="str">
        <f aca="false">TRIM(K493&amp;L493&amp;M493&amp;N493&amp;O493&amp;P493)</f>
        <v/>
      </c>
      <c r="K493" s="15" t="str">
        <f aca="true">IF(NOT(COUNTA($A493:$H493)&gt;0),"",IF(A493="","Missing date. ",IF(NOT(ISNUMBER(A493)),"Date is not a real date. ",IF(YEAR(A493)&lt;&gt;Settings!$B$4,"Date outside tax year. ",IF(A493&gt;TODAY(),"Date is in the future. ","")))))</f>
        <v/>
      </c>
      <c r="L493" s="15" t="str">
        <f aca="false">IF(NOT(COUNTA($A493:$H493)&gt;0),"",IF(E493="","Missing amount. ",IF(NOT(ISNUMBER(E493)),"Amount is not a number. ",IF(E493&lt;=0,"Amount must be above zero. ",""))))</f>
        <v/>
      </c>
      <c r="M493" s="15" t="str">
        <f aca="false">IF(NOT(COUNTA($A493:$H493)&gt;0),"",IF(D493="","Missing category. ",IF(COUNTIF(Settings!$B$11:$B$40,D493)=0,"Category not in your list. ","")))</f>
        <v/>
      </c>
      <c r="N493" s="15" t="str">
        <f aca="false">IF(AND(ISNUMBER(A493),ISNUMBER(E493),B493&lt;&gt;""),IF(COUNTIFS($A$6:$A$505,A493,$B$6:$B$505,B493,$E$6:$E$505,E493)&gt;1,"Possible duplicate. ",""),"")</f>
        <v/>
      </c>
      <c r="O493" s="15" t="str">
        <f aca="false">IF(AND(ISNUMBER(E493),E493&gt;=Settings!$B$6,G493&lt;&gt;"Yes"),"Receipt not marked as saved. ","")</f>
        <v/>
      </c>
      <c r="P493" s="15" t="str">
        <f aca="false">IF(AND(ISNUMBER(E493),E493&gt;=Settings!$B$5),"Large amount: review. ","")</f>
        <v/>
      </c>
    </row>
    <row r="494" customFormat="false" ht="15" hidden="false" customHeight="false" outlineLevel="0" collapsed="false">
      <c r="A494" s="10"/>
      <c r="B494" s="11"/>
      <c r="C494" s="11"/>
      <c r="D494" s="11"/>
      <c r="E494" s="12"/>
      <c r="F494" s="11"/>
      <c r="G494" s="11"/>
      <c r="H494" s="11"/>
      <c r="I494" s="13" t="str">
        <f aca="false">IF(NOT(COUNTA($A494:$H494)&gt;0),"",IF(K494&amp;L494&amp;M494&lt;&gt;"","ERROR",IF(N494&amp;O494&amp;P494&lt;&gt;"","CHECK","OK")))</f>
        <v/>
      </c>
      <c r="J494" s="14" t="str">
        <f aca="false">TRIM(K494&amp;L494&amp;M494&amp;N494&amp;O494&amp;P494)</f>
        <v/>
      </c>
      <c r="K494" s="15" t="str">
        <f aca="true">IF(NOT(COUNTA($A494:$H494)&gt;0),"",IF(A494="","Missing date. ",IF(NOT(ISNUMBER(A494)),"Date is not a real date. ",IF(YEAR(A494)&lt;&gt;Settings!$B$4,"Date outside tax year. ",IF(A494&gt;TODAY(),"Date is in the future. ","")))))</f>
        <v/>
      </c>
      <c r="L494" s="15" t="str">
        <f aca="false">IF(NOT(COUNTA($A494:$H494)&gt;0),"",IF(E494="","Missing amount. ",IF(NOT(ISNUMBER(E494)),"Amount is not a number. ",IF(E494&lt;=0,"Amount must be above zero. ",""))))</f>
        <v/>
      </c>
      <c r="M494" s="15" t="str">
        <f aca="false">IF(NOT(COUNTA($A494:$H494)&gt;0),"",IF(D494="","Missing category. ",IF(COUNTIF(Settings!$B$11:$B$40,D494)=0,"Category not in your list. ","")))</f>
        <v/>
      </c>
      <c r="N494" s="15" t="str">
        <f aca="false">IF(AND(ISNUMBER(A494),ISNUMBER(E494),B494&lt;&gt;""),IF(COUNTIFS($A$6:$A$505,A494,$B$6:$B$505,B494,$E$6:$E$505,E494)&gt;1,"Possible duplicate. ",""),"")</f>
        <v/>
      </c>
      <c r="O494" s="15" t="str">
        <f aca="false">IF(AND(ISNUMBER(E494),E494&gt;=Settings!$B$6,G494&lt;&gt;"Yes"),"Receipt not marked as saved. ","")</f>
        <v/>
      </c>
      <c r="P494" s="15" t="str">
        <f aca="false">IF(AND(ISNUMBER(E494),E494&gt;=Settings!$B$5),"Large amount: review. ","")</f>
        <v/>
      </c>
    </row>
    <row r="495" customFormat="false" ht="15" hidden="false" customHeight="false" outlineLevel="0" collapsed="false">
      <c r="A495" s="10"/>
      <c r="B495" s="11"/>
      <c r="C495" s="11"/>
      <c r="D495" s="11"/>
      <c r="E495" s="12"/>
      <c r="F495" s="11"/>
      <c r="G495" s="11"/>
      <c r="H495" s="11"/>
      <c r="I495" s="13" t="str">
        <f aca="false">IF(NOT(COUNTA($A495:$H495)&gt;0),"",IF(K495&amp;L495&amp;M495&lt;&gt;"","ERROR",IF(N495&amp;O495&amp;P495&lt;&gt;"","CHECK","OK")))</f>
        <v/>
      </c>
      <c r="J495" s="14" t="str">
        <f aca="false">TRIM(K495&amp;L495&amp;M495&amp;N495&amp;O495&amp;P495)</f>
        <v/>
      </c>
      <c r="K495" s="15" t="str">
        <f aca="true">IF(NOT(COUNTA($A495:$H495)&gt;0),"",IF(A495="","Missing date. ",IF(NOT(ISNUMBER(A495)),"Date is not a real date. ",IF(YEAR(A495)&lt;&gt;Settings!$B$4,"Date outside tax year. ",IF(A495&gt;TODAY(),"Date is in the future. ","")))))</f>
        <v/>
      </c>
      <c r="L495" s="15" t="str">
        <f aca="false">IF(NOT(COUNTA($A495:$H495)&gt;0),"",IF(E495="","Missing amount. ",IF(NOT(ISNUMBER(E495)),"Amount is not a number. ",IF(E495&lt;=0,"Amount must be above zero. ",""))))</f>
        <v/>
      </c>
      <c r="M495" s="15" t="str">
        <f aca="false">IF(NOT(COUNTA($A495:$H495)&gt;0),"",IF(D495="","Missing category. ",IF(COUNTIF(Settings!$B$11:$B$40,D495)=0,"Category not in your list. ","")))</f>
        <v/>
      </c>
      <c r="N495" s="15" t="str">
        <f aca="false">IF(AND(ISNUMBER(A495),ISNUMBER(E495),B495&lt;&gt;""),IF(COUNTIFS($A$6:$A$505,A495,$B$6:$B$505,B495,$E$6:$E$505,E495)&gt;1,"Possible duplicate. ",""),"")</f>
        <v/>
      </c>
      <c r="O495" s="15" t="str">
        <f aca="false">IF(AND(ISNUMBER(E495),E495&gt;=Settings!$B$6,G495&lt;&gt;"Yes"),"Receipt not marked as saved. ","")</f>
        <v/>
      </c>
      <c r="P495" s="15" t="str">
        <f aca="false">IF(AND(ISNUMBER(E495),E495&gt;=Settings!$B$5),"Large amount: review. ","")</f>
        <v/>
      </c>
    </row>
    <row r="496" customFormat="false" ht="15" hidden="false" customHeight="false" outlineLevel="0" collapsed="false">
      <c r="A496" s="10"/>
      <c r="B496" s="11"/>
      <c r="C496" s="11"/>
      <c r="D496" s="11"/>
      <c r="E496" s="12"/>
      <c r="F496" s="11"/>
      <c r="G496" s="11"/>
      <c r="H496" s="11"/>
      <c r="I496" s="13" t="str">
        <f aca="false">IF(NOT(COUNTA($A496:$H496)&gt;0),"",IF(K496&amp;L496&amp;M496&lt;&gt;"","ERROR",IF(N496&amp;O496&amp;P496&lt;&gt;"","CHECK","OK")))</f>
        <v/>
      </c>
      <c r="J496" s="14" t="str">
        <f aca="false">TRIM(K496&amp;L496&amp;M496&amp;N496&amp;O496&amp;P496)</f>
        <v/>
      </c>
      <c r="K496" s="15" t="str">
        <f aca="true">IF(NOT(COUNTA($A496:$H496)&gt;0),"",IF(A496="","Missing date. ",IF(NOT(ISNUMBER(A496)),"Date is not a real date. ",IF(YEAR(A496)&lt;&gt;Settings!$B$4,"Date outside tax year. ",IF(A496&gt;TODAY(),"Date is in the future. ","")))))</f>
        <v/>
      </c>
      <c r="L496" s="15" t="str">
        <f aca="false">IF(NOT(COUNTA($A496:$H496)&gt;0),"",IF(E496="","Missing amount. ",IF(NOT(ISNUMBER(E496)),"Amount is not a number. ",IF(E496&lt;=0,"Amount must be above zero. ",""))))</f>
        <v/>
      </c>
      <c r="M496" s="15" t="str">
        <f aca="false">IF(NOT(COUNTA($A496:$H496)&gt;0),"",IF(D496="","Missing category. ",IF(COUNTIF(Settings!$B$11:$B$40,D496)=0,"Category not in your list. ","")))</f>
        <v/>
      </c>
      <c r="N496" s="15" t="str">
        <f aca="false">IF(AND(ISNUMBER(A496),ISNUMBER(E496),B496&lt;&gt;""),IF(COUNTIFS($A$6:$A$505,A496,$B$6:$B$505,B496,$E$6:$E$505,E496)&gt;1,"Possible duplicate. ",""),"")</f>
        <v/>
      </c>
      <c r="O496" s="15" t="str">
        <f aca="false">IF(AND(ISNUMBER(E496),E496&gt;=Settings!$B$6,G496&lt;&gt;"Yes"),"Receipt not marked as saved. ","")</f>
        <v/>
      </c>
      <c r="P496" s="15" t="str">
        <f aca="false">IF(AND(ISNUMBER(E496),E496&gt;=Settings!$B$5),"Large amount: review. ","")</f>
        <v/>
      </c>
    </row>
    <row r="497" customFormat="false" ht="15" hidden="false" customHeight="false" outlineLevel="0" collapsed="false">
      <c r="A497" s="10"/>
      <c r="B497" s="11"/>
      <c r="C497" s="11"/>
      <c r="D497" s="11"/>
      <c r="E497" s="12"/>
      <c r="F497" s="11"/>
      <c r="G497" s="11"/>
      <c r="H497" s="11"/>
      <c r="I497" s="13" t="str">
        <f aca="false">IF(NOT(COUNTA($A497:$H497)&gt;0),"",IF(K497&amp;L497&amp;M497&lt;&gt;"","ERROR",IF(N497&amp;O497&amp;P497&lt;&gt;"","CHECK","OK")))</f>
        <v/>
      </c>
      <c r="J497" s="14" t="str">
        <f aca="false">TRIM(K497&amp;L497&amp;M497&amp;N497&amp;O497&amp;P497)</f>
        <v/>
      </c>
      <c r="K497" s="15" t="str">
        <f aca="true">IF(NOT(COUNTA($A497:$H497)&gt;0),"",IF(A497="","Missing date. ",IF(NOT(ISNUMBER(A497)),"Date is not a real date. ",IF(YEAR(A497)&lt;&gt;Settings!$B$4,"Date outside tax year. ",IF(A497&gt;TODAY(),"Date is in the future. ","")))))</f>
        <v/>
      </c>
      <c r="L497" s="15" t="str">
        <f aca="false">IF(NOT(COUNTA($A497:$H497)&gt;0),"",IF(E497="","Missing amount. ",IF(NOT(ISNUMBER(E497)),"Amount is not a number. ",IF(E497&lt;=0,"Amount must be above zero. ",""))))</f>
        <v/>
      </c>
      <c r="M497" s="15" t="str">
        <f aca="false">IF(NOT(COUNTA($A497:$H497)&gt;0),"",IF(D497="","Missing category. ",IF(COUNTIF(Settings!$B$11:$B$40,D497)=0,"Category not in your list. ","")))</f>
        <v/>
      </c>
      <c r="N497" s="15" t="str">
        <f aca="false">IF(AND(ISNUMBER(A497),ISNUMBER(E497),B497&lt;&gt;""),IF(COUNTIFS($A$6:$A$505,A497,$B$6:$B$505,B497,$E$6:$E$505,E497)&gt;1,"Possible duplicate. ",""),"")</f>
        <v/>
      </c>
      <c r="O497" s="15" t="str">
        <f aca="false">IF(AND(ISNUMBER(E497),E497&gt;=Settings!$B$6,G497&lt;&gt;"Yes"),"Receipt not marked as saved. ","")</f>
        <v/>
      </c>
      <c r="P497" s="15" t="str">
        <f aca="false">IF(AND(ISNUMBER(E497),E497&gt;=Settings!$B$5),"Large amount: review. ","")</f>
        <v/>
      </c>
    </row>
    <row r="498" customFormat="false" ht="15" hidden="false" customHeight="false" outlineLevel="0" collapsed="false">
      <c r="A498" s="10"/>
      <c r="B498" s="11"/>
      <c r="C498" s="11"/>
      <c r="D498" s="11"/>
      <c r="E498" s="12"/>
      <c r="F498" s="11"/>
      <c r="G498" s="11"/>
      <c r="H498" s="11"/>
      <c r="I498" s="13" t="str">
        <f aca="false">IF(NOT(COUNTA($A498:$H498)&gt;0),"",IF(K498&amp;L498&amp;M498&lt;&gt;"","ERROR",IF(N498&amp;O498&amp;P498&lt;&gt;"","CHECK","OK")))</f>
        <v/>
      </c>
      <c r="J498" s="14" t="str">
        <f aca="false">TRIM(K498&amp;L498&amp;M498&amp;N498&amp;O498&amp;P498)</f>
        <v/>
      </c>
      <c r="K498" s="15" t="str">
        <f aca="true">IF(NOT(COUNTA($A498:$H498)&gt;0),"",IF(A498="","Missing date. ",IF(NOT(ISNUMBER(A498)),"Date is not a real date. ",IF(YEAR(A498)&lt;&gt;Settings!$B$4,"Date outside tax year. ",IF(A498&gt;TODAY(),"Date is in the future. ","")))))</f>
        <v/>
      </c>
      <c r="L498" s="15" t="str">
        <f aca="false">IF(NOT(COUNTA($A498:$H498)&gt;0),"",IF(E498="","Missing amount. ",IF(NOT(ISNUMBER(E498)),"Amount is not a number. ",IF(E498&lt;=0,"Amount must be above zero. ",""))))</f>
        <v/>
      </c>
      <c r="M498" s="15" t="str">
        <f aca="false">IF(NOT(COUNTA($A498:$H498)&gt;0),"",IF(D498="","Missing category. ",IF(COUNTIF(Settings!$B$11:$B$40,D498)=0,"Category not in your list. ","")))</f>
        <v/>
      </c>
      <c r="N498" s="15" t="str">
        <f aca="false">IF(AND(ISNUMBER(A498),ISNUMBER(E498),B498&lt;&gt;""),IF(COUNTIFS($A$6:$A$505,A498,$B$6:$B$505,B498,$E$6:$E$505,E498)&gt;1,"Possible duplicate. ",""),"")</f>
        <v/>
      </c>
      <c r="O498" s="15" t="str">
        <f aca="false">IF(AND(ISNUMBER(E498),E498&gt;=Settings!$B$6,G498&lt;&gt;"Yes"),"Receipt not marked as saved. ","")</f>
        <v/>
      </c>
      <c r="P498" s="15" t="str">
        <f aca="false">IF(AND(ISNUMBER(E498),E498&gt;=Settings!$B$5),"Large amount: review. ","")</f>
        <v/>
      </c>
    </row>
    <row r="499" customFormat="false" ht="15" hidden="false" customHeight="false" outlineLevel="0" collapsed="false">
      <c r="A499" s="10"/>
      <c r="B499" s="11"/>
      <c r="C499" s="11"/>
      <c r="D499" s="11"/>
      <c r="E499" s="12"/>
      <c r="F499" s="11"/>
      <c r="G499" s="11"/>
      <c r="H499" s="11"/>
      <c r="I499" s="13" t="str">
        <f aca="false">IF(NOT(COUNTA($A499:$H499)&gt;0),"",IF(K499&amp;L499&amp;M499&lt;&gt;"","ERROR",IF(N499&amp;O499&amp;P499&lt;&gt;"","CHECK","OK")))</f>
        <v/>
      </c>
      <c r="J499" s="14" t="str">
        <f aca="false">TRIM(K499&amp;L499&amp;M499&amp;N499&amp;O499&amp;P499)</f>
        <v/>
      </c>
      <c r="K499" s="15" t="str">
        <f aca="true">IF(NOT(COUNTA($A499:$H499)&gt;0),"",IF(A499="","Missing date. ",IF(NOT(ISNUMBER(A499)),"Date is not a real date. ",IF(YEAR(A499)&lt;&gt;Settings!$B$4,"Date outside tax year. ",IF(A499&gt;TODAY(),"Date is in the future. ","")))))</f>
        <v/>
      </c>
      <c r="L499" s="15" t="str">
        <f aca="false">IF(NOT(COUNTA($A499:$H499)&gt;0),"",IF(E499="","Missing amount. ",IF(NOT(ISNUMBER(E499)),"Amount is not a number. ",IF(E499&lt;=0,"Amount must be above zero. ",""))))</f>
        <v/>
      </c>
      <c r="M499" s="15" t="str">
        <f aca="false">IF(NOT(COUNTA($A499:$H499)&gt;0),"",IF(D499="","Missing category. ",IF(COUNTIF(Settings!$B$11:$B$40,D499)=0,"Category not in your list. ","")))</f>
        <v/>
      </c>
      <c r="N499" s="15" t="str">
        <f aca="false">IF(AND(ISNUMBER(A499),ISNUMBER(E499),B499&lt;&gt;""),IF(COUNTIFS($A$6:$A$505,A499,$B$6:$B$505,B499,$E$6:$E$505,E499)&gt;1,"Possible duplicate. ",""),"")</f>
        <v/>
      </c>
      <c r="O499" s="15" t="str">
        <f aca="false">IF(AND(ISNUMBER(E499),E499&gt;=Settings!$B$6,G499&lt;&gt;"Yes"),"Receipt not marked as saved. ","")</f>
        <v/>
      </c>
      <c r="P499" s="15" t="str">
        <f aca="false">IF(AND(ISNUMBER(E499),E499&gt;=Settings!$B$5),"Large amount: review. ","")</f>
        <v/>
      </c>
    </row>
    <row r="500" customFormat="false" ht="15" hidden="false" customHeight="false" outlineLevel="0" collapsed="false">
      <c r="A500" s="10"/>
      <c r="B500" s="11"/>
      <c r="C500" s="11"/>
      <c r="D500" s="11"/>
      <c r="E500" s="12"/>
      <c r="F500" s="11"/>
      <c r="G500" s="11"/>
      <c r="H500" s="11"/>
      <c r="I500" s="13" t="str">
        <f aca="false">IF(NOT(COUNTA($A500:$H500)&gt;0),"",IF(K500&amp;L500&amp;M500&lt;&gt;"","ERROR",IF(N500&amp;O500&amp;P500&lt;&gt;"","CHECK","OK")))</f>
        <v/>
      </c>
      <c r="J500" s="14" t="str">
        <f aca="false">TRIM(K500&amp;L500&amp;M500&amp;N500&amp;O500&amp;P500)</f>
        <v/>
      </c>
      <c r="K500" s="15" t="str">
        <f aca="true">IF(NOT(COUNTA($A500:$H500)&gt;0),"",IF(A500="","Missing date. ",IF(NOT(ISNUMBER(A500)),"Date is not a real date. ",IF(YEAR(A500)&lt;&gt;Settings!$B$4,"Date outside tax year. ",IF(A500&gt;TODAY(),"Date is in the future. ","")))))</f>
        <v/>
      </c>
      <c r="L500" s="15" t="str">
        <f aca="false">IF(NOT(COUNTA($A500:$H500)&gt;0),"",IF(E500="","Missing amount. ",IF(NOT(ISNUMBER(E500)),"Amount is not a number. ",IF(E500&lt;=0,"Amount must be above zero. ",""))))</f>
        <v/>
      </c>
      <c r="M500" s="15" t="str">
        <f aca="false">IF(NOT(COUNTA($A500:$H500)&gt;0),"",IF(D500="","Missing category. ",IF(COUNTIF(Settings!$B$11:$B$40,D500)=0,"Category not in your list. ","")))</f>
        <v/>
      </c>
      <c r="N500" s="15" t="str">
        <f aca="false">IF(AND(ISNUMBER(A500),ISNUMBER(E500),B500&lt;&gt;""),IF(COUNTIFS($A$6:$A$505,A500,$B$6:$B$505,B500,$E$6:$E$505,E500)&gt;1,"Possible duplicate. ",""),"")</f>
        <v/>
      </c>
      <c r="O500" s="15" t="str">
        <f aca="false">IF(AND(ISNUMBER(E500),E500&gt;=Settings!$B$6,G500&lt;&gt;"Yes"),"Receipt not marked as saved. ","")</f>
        <v/>
      </c>
      <c r="P500" s="15" t="str">
        <f aca="false">IF(AND(ISNUMBER(E500),E500&gt;=Settings!$B$5),"Large amount: review. ","")</f>
        <v/>
      </c>
    </row>
    <row r="501" customFormat="false" ht="15" hidden="false" customHeight="false" outlineLevel="0" collapsed="false">
      <c r="A501" s="10"/>
      <c r="B501" s="11"/>
      <c r="C501" s="11"/>
      <c r="D501" s="11"/>
      <c r="E501" s="12"/>
      <c r="F501" s="11"/>
      <c r="G501" s="11"/>
      <c r="H501" s="11"/>
      <c r="I501" s="13" t="str">
        <f aca="false">IF(NOT(COUNTA($A501:$H501)&gt;0),"",IF(K501&amp;L501&amp;M501&lt;&gt;"","ERROR",IF(N501&amp;O501&amp;P501&lt;&gt;"","CHECK","OK")))</f>
        <v/>
      </c>
      <c r="J501" s="14" t="str">
        <f aca="false">TRIM(K501&amp;L501&amp;M501&amp;N501&amp;O501&amp;P501)</f>
        <v/>
      </c>
      <c r="K501" s="15" t="str">
        <f aca="true">IF(NOT(COUNTA($A501:$H501)&gt;0),"",IF(A501="","Missing date. ",IF(NOT(ISNUMBER(A501)),"Date is not a real date. ",IF(YEAR(A501)&lt;&gt;Settings!$B$4,"Date outside tax year. ",IF(A501&gt;TODAY(),"Date is in the future. ","")))))</f>
        <v/>
      </c>
      <c r="L501" s="15" t="str">
        <f aca="false">IF(NOT(COUNTA($A501:$H501)&gt;0),"",IF(E501="","Missing amount. ",IF(NOT(ISNUMBER(E501)),"Amount is not a number. ",IF(E501&lt;=0,"Amount must be above zero. ",""))))</f>
        <v/>
      </c>
      <c r="M501" s="15" t="str">
        <f aca="false">IF(NOT(COUNTA($A501:$H501)&gt;0),"",IF(D501="","Missing category. ",IF(COUNTIF(Settings!$B$11:$B$40,D501)=0,"Category not in your list. ","")))</f>
        <v/>
      </c>
      <c r="N501" s="15" t="str">
        <f aca="false">IF(AND(ISNUMBER(A501),ISNUMBER(E501),B501&lt;&gt;""),IF(COUNTIFS($A$6:$A$505,A501,$B$6:$B$505,B501,$E$6:$E$505,E501)&gt;1,"Possible duplicate. ",""),"")</f>
        <v/>
      </c>
      <c r="O501" s="15" t="str">
        <f aca="false">IF(AND(ISNUMBER(E501),E501&gt;=Settings!$B$6,G501&lt;&gt;"Yes"),"Receipt not marked as saved. ","")</f>
        <v/>
      </c>
      <c r="P501" s="15" t="str">
        <f aca="false">IF(AND(ISNUMBER(E501),E501&gt;=Settings!$B$5),"Large amount: review. ","")</f>
        <v/>
      </c>
    </row>
    <row r="502" customFormat="false" ht="15" hidden="false" customHeight="false" outlineLevel="0" collapsed="false">
      <c r="A502" s="10"/>
      <c r="B502" s="11"/>
      <c r="C502" s="11"/>
      <c r="D502" s="11"/>
      <c r="E502" s="12"/>
      <c r="F502" s="11"/>
      <c r="G502" s="11"/>
      <c r="H502" s="11"/>
      <c r="I502" s="13" t="str">
        <f aca="false">IF(NOT(COUNTA($A502:$H502)&gt;0),"",IF(K502&amp;L502&amp;M502&lt;&gt;"","ERROR",IF(N502&amp;O502&amp;P502&lt;&gt;"","CHECK","OK")))</f>
        <v/>
      </c>
      <c r="J502" s="14" t="str">
        <f aca="false">TRIM(K502&amp;L502&amp;M502&amp;N502&amp;O502&amp;P502)</f>
        <v/>
      </c>
      <c r="K502" s="15" t="str">
        <f aca="true">IF(NOT(COUNTA($A502:$H502)&gt;0),"",IF(A502="","Missing date. ",IF(NOT(ISNUMBER(A502)),"Date is not a real date. ",IF(YEAR(A502)&lt;&gt;Settings!$B$4,"Date outside tax year. ",IF(A502&gt;TODAY(),"Date is in the future. ","")))))</f>
        <v/>
      </c>
      <c r="L502" s="15" t="str">
        <f aca="false">IF(NOT(COUNTA($A502:$H502)&gt;0),"",IF(E502="","Missing amount. ",IF(NOT(ISNUMBER(E502)),"Amount is not a number. ",IF(E502&lt;=0,"Amount must be above zero. ",""))))</f>
        <v/>
      </c>
      <c r="M502" s="15" t="str">
        <f aca="false">IF(NOT(COUNTA($A502:$H502)&gt;0),"",IF(D502="","Missing category. ",IF(COUNTIF(Settings!$B$11:$B$40,D502)=0,"Category not in your list. ","")))</f>
        <v/>
      </c>
      <c r="N502" s="15" t="str">
        <f aca="false">IF(AND(ISNUMBER(A502),ISNUMBER(E502),B502&lt;&gt;""),IF(COUNTIFS($A$6:$A$505,A502,$B$6:$B$505,B502,$E$6:$E$505,E502)&gt;1,"Possible duplicate. ",""),"")</f>
        <v/>
      </c>
      <c r="O502" s="15" t="str">
        <f aca="false">IF(AND(ISNUMBER(E502),E502&gt;=Settings!$B$6,G502&lt;&gt;"Yes"),"Receipt not marked as saved. ","")</f>
        <v/>
      </c>
      <c r="P502" s="15" t="str">
        <f aca="false">IF(AND(ISNUMBER(E502),E502&gt;=Settings!$B$5),"Large amount: review. ","")</f>
        <v/>
      </c>
    </row>
    <row r="503" customFormat="false" ht="15" hidden="false" customHeight="false" outlineLevel="0" collapsed="false">
      <c r="A503" s="10"/>
      <c r="B503" s="11"/>
      <c r="C503" s="11"/>
      <c r="D503" s="11"/>
      <c r="E503" s="12"/>
      <c r="F503" s="11"/>
      <c r="G503" s="11"/>
      <c r="H503" s="11"/>
      <c r="I503" s="13" t="str">
        <f aca="false">IF(NOT(COUNTA($A503:$H503)&gt;0),"",IF(K503&amp;L503&amp;M503&lt;&gt;"","ERROR",IF(N503&amp;O503&amp;P503&lt;&gt;"","CHECK","OK")))</f>
        <v/>
      </c>
      <c r="J503" s="14" t="str">
        <f aca="false">TRIM(K503&amp;L503&amp;M503&amp;N503&amp;O503&amp;P503)</f>
        <v/>
      </c>
      <c r="K503" s="15" t="str">
        <f aca="true">IF(NOT(COUNTA($A503:$H503)&gt;0),"",IF(A503="","Missing date. ",IF(NOT(ISNUMBER(A503)),"Date is not a real date. ",IF(YEAR(A503)&lt;&gt;Settings!$B$4,"Date outside tax year. ",IF(A503&gt;TODAY(),"Date is in the future. ","")))))</f>
        <v/>
      </c>
      <c r="L503" s="15" t="str">
        <f aca="false">IF(NOT(COUNTA($A503:$H503)&gt;0),"",IF(E503="","Missing amount. ",IF(NOT(ISNUMBER(E503)),"Amount is not a number. ",IF(E503&lt;=0,"Amount must be above zero. ",""))))</f>
        <v/>
      </c>
      <c r="M503" s="15" t="str">
        <f aca="false">IF(NOT(COUNTA($A503:$H503)&gt;0),"",IF(D503="","Missing category. ",IF(COUNTIF(Settings!$B$11:$B$40,D503)=0,"Category not in your list. ","")))</f>
        <v/>
      </c>
      <c r="N503" s="15" t="str">
        <f aca="false">IF(AND(ISNUMBER(A503),ISNUMBER(E503),B503&lt;&gt;""),IF(COUNTIFS($A$6:$A$505,A503,$B$6:$B$505,B503,$E$6:$E$505,E503)&gt;1,"Possible duplicate. ",""),"")</f>
        <v/>
      </c>
      <c r="O503" s="15" t="str">
        <f aca="false">IF(AND(ISNUMBER(E503),E503&gt;=Settings!$B$6,G503&lt;&gt;"Yes"),"Receipt not marked as saved. ","")</f>
        <v/>
      </c>
      <c r="P503" s="15" t="str">
        <f aca="false">IF(AND(ISNUMBER(E503),E503&gt;=Settings!$B$5),"Large amount: review. ","")</f>
        <v/>
      </c>
    </row>
    <row r="504" customFormat="false" ht="15" hidden="false" customHeight="false" outlineLevel="0" collapsed="false">
      <c r="A504" s="10"/>
      <c r="B504" s="11"/>
      <c r="C504" s="11"/>
      <c r="D504" s="11"/>
      <c r="E504" s="12"/>
      <c r="F504" s="11"/>
      <c r="G504" s="11"/>
      <c r="H504" s="11"/>
      <c r="I504" s="13" t="str">
        <f aca="false">IF(NOT(COUNTA($A504:$H504)&gt;0),"",IF(K504&amp;L504&amp;M504&lt;&gt;"","ERROR",IF(N504&amp;O504&amp;P504&lt;&gt;"","CHECK","OK")))</f>
        <v/>
      </c>
      <c r="J504" s="14" t="str">
        <f aca="false">TRIM(K504&amp;L504&amp;M504&amp;N504&amp;O504&amp;P504)</f>
        <v/>
      </c>
      <c r="K504" s="15" t="str">
        <f aca="true">IF(NOT(COUNTA($A504:$H504)&gt;0),"",IF(A504="","Missing date. ",IF(NOT(ISNUMBER(A504)),"Date is not a real date. ",IF(YEAR(A504)&lt;&gt;Settings!$B$4,"Date outside tax year. ",IF(A504&gt;TODAY(),"Date is in the future. ","")))))</f>
        <v/>
      </c>
      <c r="L504" s="15" t="str">
        <f aca="false">IF(NOT(COUNTA($A504:$H504)&gt;0),"",IF(E504="","Missing amount. ",IF(NOT(ISNUMBER(E504)),"Amount is not a number. ",IF(E504&lt;=0,"Amount must be above zero. ",""))))</f>
        <v/>
      </c>
      <c r="M504" s="15" t="str">
        <f aca="false">IF(NOT(COUNTA($A504:$H504)&gt;0),"",IF(D504="","Missing category. ",IF(COUNTIF(Settings!$B$11:$B$40,D504)=0,"Category not in your list. ","")))</f>
        <v/>
      </c>
      <c r="N504" s="15" t="str">
        <f aca="false">IF(AND(ISNUMBER(A504),ISNUMBER(E504),B504&lt;&gt;""),IF(COUNTIFS($A$6:$A$505,A504,$B$6:$B$505,B504,$E$6:$E$505,E504)&gt;1,"Possible duplicate. ",""),"")</f>
        <v/>
      </c>
      <c r="O504" s="15" t="str">
        <f aca="false">IF(AND(ISNUMBER(E504),E504&gt;=Settings!$B$6,G504&lt;&gt;"Yes"),"Receipt not marked as saved. ","")</f>
        <v/>
      </c>
      <c r="P504" s="15" t="str">
        <f aca="false">IF(AND(ISNUMBER(E504),E504&gt;=Settings!$B$5),"Large amount: review. ","")</f>
        <v/>
      </c>
    </row>
    <row r="505" customFormat="false" ht="15" hidden="false" customHeight="false" outlineLevel="0" collapsed="false">
      <c r="A505" s="10"/>
      <c r="B505" s="11"/>
      <c r="C505" s="11"/>
      <c r="D505" s="11"/>
      <c r="E505" s="12"/>
      <c r="F505" s="11"/>
      <c r="G505" s="11"/>
      <c r="H505" s="11"/>
      <c r="I505" s="13" t="str">
        <f aca="false">IF(NOT(COUNTA($A505:$H505)&gt;0),"",IF(K505&amp;L505&amp;M505&lt;&gt;"","ERROR",IF(N505&amp;O505&amp;P505&lt;&gt;"","CHECK","OK")))</f>
        <v/>
      </c>
      <c r="J505" s="14" t="str">
        <f aca="false">TRIM(K505&amp;L505&amp;M505&amp;N505&amp;O505&amp;P505)</f>
        <v/>
      </c>
      <c r="K505" s="15" t="str">
        <f aca="true">IF(NOT(COUNTA($A505:$H505)&gt;0),"",IF(A505="","Missing date. ",IF(NOT(ISNUMBER(A505)),"Date is not a real date. ",IF(YEAR(A505)&lt;&gt;Settings!$B$4,"Date outside tax year. ",IF(A505&gt;TODAY(),"Date is in the future. ","")))))</f>
        <v/>
      </c>
      <c r="L505" s="15" t="str">
        <f aca="false">IF(NOT(COUNTA($A505:$H505)&gt;0),"",IF(E505="","Missing amount. ",IF(NOT(ISNUMBER(E505)),"Amount is not a number. ",IF(E505&lt;=0,"Amount must be above zero. ",""))))</f>
        <v/>
      </c>
      <c r="M505" s="15" t="str">
        <f aca="false">IF(NOT(COUNTA($A505:$H505)&gt;0),"",IF(D505="","Missing category. ",IF(COUNTIF(Settings!$B$11:$B$40,D505)=0,"Category not in your list. ","")))</f>
        <v/>
      </c>
      <c r="N505" s="15" t="str">
        <f aca="false">IF(AND(ISNUMBER(A505),ISNUMBER(E505),B505&lt;&gt;""),IF(COUNTIFS($A$6:$A$505,A505,$B$6:$B$505,B505,$E$6:$E$505,E505)&gt;1,"Possible duplicate. ",""),"")</f>
        <v/>
      </c>
      <c r="O505" s="15" t="str">
        <f aca="false">IF(AND(ISNUMBER(E505),E505&gt;=Settings!$B$6,G505&lt;&gt;"Yes"),"Receipt not marked as saved. ","")</f>
        <v/>
      </c>
      <c r="P505" s="15" t="str">
        <f aca="false">IF(AND(ISNUMBER(E505),E505&gt;=Settings!$B$5),"Large amount: review. ","")</f>
        <v/>
      </c>
    </row>
  </sheetData>
  <conditionalFormatting sqref="I6:I505">
    <cfRule type="cellIs" priority="2" operator="equal" aboveAverage="0" equalAverage="0" bottom="0" percent="0" rank="0" text="" dxfId="0">
      <formula>"ERROR"</formula>
    </cfRule>
    <cfRule type="cellIs" priority="3" operator="equal" aboveAverage="0" equalAverage="0" bottom="0" percent="0" rank="0" text="" dxfId="1">
      <formula>"CHECK"</formula>
    </cfRule>
    <cfRule type="cellIs" priority="4" operator="equal" aboveAverage="0" equalAverage="0" bottom="0" percent="0" rank="0" text="" dxfId="2">
      <formula>"OK"</formula>
    </cfRule>
  </conditionalFormatting>
  <conditionalFormatting sqref="A6:H505">
    <cfRule type="expression" priority="5" aboveAverage="0" equalAverage="0" bottom="0" percent="0" rank="0" text="" dxfId="3">
      <formula>$I6="ERROR"</formula>
    </cfRule>
  </conditionalFormatting>
  <dataValidations count="5">
    <dataValidation allowBlank="true" error="Enter a real date, e.g. 2026-03-15." errorStyle="stop" errorTitle="Date" operator="greaterThan" showDropDown="false" showErrorMessage="true" showInputMessage="false" sqref="A6:A505" type="date">
      <formula1>DATE(2000,1,1)</formula1>
      <formula2>0</formula2>
    </dataValidation>
    <dataValidation allowBlank="true" error="Enter a positive number without currency symbols." errorStyle="stop" errorTitle="Amount" operator="greaterThan" showDropDown="false" showErrorMessage="true" showInputMessage="false" sqref="E6:E505" type="decimal">
      <formula1>0</formula1>
      <formula2>0</formula2>
    </dataValidation>
    <dataValidation allowBlank="true" error="Pick a category from the list (edit the list on the Settings tab)." errorStyle="stop" errorTitle="Category" operator="between" showDropDown="false" showErrorMessage="true" showInputMessage="false" sqref="D6:D505" type="list">
      <formula1>Settings!$B$11:$B$40</formula1>
      <formula2>0</formula2>
    </dataValidation>
    <dataValidation allowBlank="true" errorStyle="stop" operator="between" showDropDown="false" showErrorMessage="true" showInputMessage="false" sqref="F6:F505" type="list">
      <formula1>Settings!$B$44:$B$48</formula1>
      <formula2>0</formula2>
    </dataValidation>
    <dataValidation allowBlank="true" errorStyle="stop" operator="between" showDropDown="false" showErrorMessage="true" showInputMessage="false" sqref="G6:G505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22.05" hidden="false" customHeight="false" outlineLevel="0" collapsed="false">
      <c r="A1" s="5" t="s">
        <v>65</v>
      </c>
    </row>
    <row r="2" customFormat="false" ht="15" hidden="false" customHeight="false" outlineLevel="0" collapsed="false">
      <c r="A2" s="16" t="str">
        <f aca="false">" Tax year "&amp;Settings!$B$4&amp;"  |  amounts in "&amp;Settings!$B$7</f>
        <v> Tax year 2026  |  amounts in USD</v>
      </c>
    </row>
    <row r="4" customFormat="false" ht="16.15" hidden="false" customHeight="false" outlineLevel="0" collapsed="false">
      <c r="A4" s="17" t="s">
        <v>66</v>
      </c>
      <c r="B4" s="18" t="str">
        <f aca="false">IF(B5=0,"Add your first expense",IF(AND(B6=0,B7=0,B13="YES",B14="YES"),"ALL CHECKS PASSED",B6&amp;" error(s), "&amp;B7&amp;" to review"))</f>
        <v>3 error(s), 4 to review</v>
      </c>
    </row>
    <row r="5" customFormat="false" ht="15" hidden="false" customHeight="false" outlineLevel="0" collapsed="false">
      <c r="A5" s="3" t="s">
        <v>67</v>
      </c>
      <c r="B5" s="19" t="n">
        <f aca="false">COUNTIF(Expenses!$I$6:$I$505,"OK")+COUNTIF(Expenses!$I$6:$I$505,"CHECK")+COUNTIF(Expenses!$I$6:$I$505,"ERROR")</f>
        <v>8</v>
      </c>
    </row>
    <row r="6" customFormat="false" ht="15" hidden="false" customHeight="false" outlineLevel="0" collapsed="false">
      <c r="A6" s="3" t="s">
        <v>68</v>
      </c>
      <c r="B6" s="19" t="n">
        <f aca="false">COUNTIF(Expenses!$I$6:$I$505,"ERROR")</f>
        <v>3</v>
      </c>
    </row>
    <row r="7" customFormat="false" ht="15" hidden="false" customHeight="false" outlineLevel="0" collapsed="false">
      <c r="A7" s="3" t="s">
        <v>69</v>
      </c>
      <c r="B7" s="19" t="n">
        <f aca="false">COUNTIF(Expenses!$I$6:$I$505,"CHECK")</f>
        <v>4</v>
      </c>
    </row>
    <row r="8" customFormat="false" ht="15" hidden="false" customHeight="false" outlineLevel="0" collapsed="false">
      <c r="A8" s="3" t="s">
        <v>70</v>
      </c>
      <c r="B8" s="19" t="n">
        <f aca="false">COUNTIF(Expenses!$I$6:$I$505,"OK")</f>
        <v>1</v>
      </c>
    </row>
    <row r="9" customFormat="false" ht="15" hidden="false" customHeight="false" outlineLevel="0" collapsed="false">
      <c r="A9" s="3" t="s">
        <v>71</v>
      </c>
      <c r="B9" s="19" t="n">
        <f aca="false">COUNTIF(Expenses!$N$6:$N$505,"Possible*")</f>
        <v>2</v>
      </c>
    </row>
    <row r="10" customFormat="false" ht="15" hidden="false" customHeight="false" outlineLevel="0" collapsed="false">
      <c r="A10" s="3" t="s">
        <v>72</v>
      </c>
      <c r="B10" s="19" t="n">
        <f aca="false">COUNTIF(Expenses!$O$6:$O$505,"Receipt*")</f>
        <v>1</v>
      </c>
    </row>
    <row r="11" customFormat="false" ht="15" hidden="false" customHeight="false" outlineLevel="0" collapsed="false">
      <c r="A11" s="3" t="s">
        <v>73</v>
      </c>
      <c r="B11" s="20" t="n">
        <f aca="false">SUMIFS(Expenses!$E$6:$E$505,Expenses!$I$6:$I$505,"ERROR")</f>
        <v>1247.76</v>
      </c>
    </row>
    <row r="12" customFormat="false" ht="15" hidden="false" customHeight="false" outlineLevel="0" collapsed="false">
      <c r="A12" s="3" t="s">
        <v>74</v>
      </c>
      <c r="B12" s="20" t="n">
        <f aca="false">SUMIFS(Expenses!$E$6:$E$505,Expenses!$I$6:$I$505,"OK")+SUMIFS(Expenses!$E$6:$E$505,Expenses!$I$6:$I$505,"CHECK")</f>
        <v>1780.48</v>
      </c>
    </row>
    <row r="13" customFormat="false" ht="15" hidden="false" customHeight="false" outlineLevel="0" collapsed="false">
      <c r="A13" s="3" t="s">
        <v>75</v>
      </c>
      <c r="B13" s="21" t="str">
        <f aca="false">IF(ROUND(SUM($B$24:$B$53)-B12,2)=0,"YES","NO")</f>
        <v>YES</v>
      </c>
    </row>
    <row r="14" customFormat="false" ht="15" hidden="false" customHeight="false" outlineLevel="0" collapsed="false">
      <c r="A14" s="3" t="s">
        <v>76</v>
      </c>
      <c r="B14" s="21" t="str">
        <f aca="false">IF(ROUND(SUM($E$24:$E$35)-B12,2)=0,"YES","NO")</f>
        <v>YES</v>
      </c>
    </row>
    <row r="22" customFormat="false" ht="15" hidden="false" customHeight="false" outlineLevel="0" collapsed="false">
      <c r="A22" s="22" t="s">
        <v>77</v>
      </c>
      <c r="D22" s="22" t="s">
        <v>78</v>
      </c>
    </row>
    <row r="23" customFormat="false" ht="15" hidden="false" customHeight="false" outlineLevel="0" collapsed="false">
      <c r="A23" s="23" t="s">
        <v>27</v>
      </c>
      <c r="B23" s="23" t="s">
        <v>79</v>
      </c>
      <c r="D23" s="23" t="s">
        <v>80</v>
      </c>
      <c r="E23" s="23" t="s">
        <v>79</v>
      </c>
    </row>
    <row r="24" customFormat="false" ht="15" hidden="false" customHeight="false" outlineLevel="0" collapsed="false">
      <c r="A24" s="0" t="str">
        <f aca="false">IF(Settings!$B$11="","",Settings!$B$11)</f>
        <v>Advertising &amp; marketing</v>
      </c>
      <c r="B24" s="24" t="n">
        <f aca="false">IF(A24="","",SUMIFS(Expenses!$E$6:$E$505,Expenses!$D$6:$D$505,A24,Expenses!$I$6:$I$505,"OK")+SUMIFS(Expenses!$E$6:$E$505,Expenses!$D$6:$D$505,A24,Expenses!$I$6:$I$505,"CHECK"))</f>
        <v>0</v>
      </c>
      <c r="D24" s="25" t="s">
        <v>81</v>
      </c>
      <c r="E24" s="24" t="n">
        <f aca="false">SUMIFS(Expenses!$E$6:$E$505,Expenses!$A$6:$A$505,"&gt;="&amp;DATE(Settings!$B$4,1,1),Expenses!$A$6:$A$505,"&lt;"&amp;DATE(Settings!$B$4,2,1),Expenses!$I$6:$I$505,"OK")+SUMIFS(Expenses!$E$6:$E$505,Expenses!$A$6:$A$505,"&gt;="&amp;DATE(Settings!$B$4,1,1),Expenses!$A$6:$A$505,"&lt;"&amp;DATE(Settings!$B$4,2,1),Expenses!$I$6:$I$505,"CHECK")</f>
        <v>168.18</v>
      </c>
    </row>
    <row r="25" customFormat="false" ht="15" hidden="false" customHeight="false" outlineLevel="0" collapsed="false">
      <c r="A25" s="0" t="str">
        <f aca="false">IF(Settings!$B$12="","",Settings!$B$12)</f>
        <v>Bank &amp; payment fees</v>
      </c>
      <c r="B25" s="24" t="n">
        <f aca="false">IF(A25="","",SUMIFS(Expenses!$E$6:$E$505,Expenses!$D$6:$D$505,A25,Expenses!$I$6:$I$505,"OK")+SUMIFS(Expenses!$E$6:$E$505,Expenses!$D$6:$D$505,A25,Expenses!$I$6:$I$505,"CHECK"))</f>
        <v>0</v>
      </c>
      <c r="D25" s="25" t="s">
        <v>82</v>
      </c>
      <c r="E25" s="24" t="n">
        <f aca="false">SUMIFS(Expenses!$E$6:$E$505,Expenses!$A$6:$A$505,"&gt;="&amp;DATE(Settings!$B$4,2,1),Expenses!$A$6:$A$505,"&lt;"&amp;DATE(Settings!$B$4,3,1),Expenses!$I$6:$I$505,"OK")+SUMIFS(Expenses!$E$6:$E$505,Expenses!$A$6:$A$505,"&gt;="&amp;DATE(Settings!$B$4,2,1),Expenses!$A$6:$A$505,"&lt;"&amp;DATE(Settings!$B$4,3,1),Expenses!$I$6:$I$505,"CHECK")</f>
        <v>412.3</v>
      </c>
    </row>
    <row r="26" customFormat="false" ht="15" hidden="false" customHeight="false" outlineLevel="0" collapsed="false">
      <c r="A26" s="0" t="str">
        <f aca="false">IF(Settings!$B$13="","",Settings!$B$13)</f>
        <v>Equipment</v>
      </c>
      <c r="B26" s="24" t="n">
        <f aca="false">IF(A26="","",SUMIFS(Expenses!$E$6:$E$505,Expenses!$D$6:$D$505,A26,Expenses!$I$6:$I$505,"OK")+SUMIFS(Expenses!$E$6:$E$505,Expenses!$D$6:$D$505,A26,Expenses!$I$6:$I$505,"CHECK"))</f>
        <v>0</v>
      </c>
      <c r="D26" s="25" t="s">
        <v>83</v>
      </c>
      <c r="E26" s="24" t="n">
        <f aca="false">SUMIFS(Expenses!$E$6:$E$505,Expenses!$A$6:$A$505,"&gt;="&amp;DATE(Settings!$B$4,3,1),Expenses!$A$6:$A$505,"&lt;"&amp;DATE(Settings!$B$4,4,1),Expenses!$I$6:$I$505,"OK")+SUMIFS(Expenses!$E$6:$E$505,Expenses!$A$6:$A$505,"&gt;="&amp;DATE(Settings!$B$4,3,1),Expenses!$A$6:$A$505,"&lt;"&amp;DATE(Settings!$B$4,4,1),Expenses!$I$6:$I$505,"CHECK")</f>
        <v>1200</v>
      </c>
    </row>
    <row r="27" customFormat="false" ht="15" hidden="false" customHeight="false" outlineLevel="0" collapsed="false">
      <c r="A27" s="0" t="str">
        <f aca="false">IF(Settings!$B$14="","",Settings!$B$14)</f>
        <v>Meals</v>
      </c>
      <c r="B27" s="24" t="n">
        <f aca="false">IF(A27="","",SUMIFS(Expenses!$E$6:$E$505,Expenses!$D$6:$D$505,A27,Expenses!$I$6:$I$505,"OK")+SUMIFS(Expenses!$E$6:$E$505,Expenses!$D$6:$D$505,A27,Expenses!$I$6:$I$505,"CHECK"))</f>
        <v>0</v>
      </c>
      <c r="D27" s="25" t="s">
        <v>84</v>
      </c>
      <c r="E27" s="24" t="n">
        <f aca="false">SUMIFS(Expenses!$E$6:$E$505,Expenses!$A$6:$A$505,"&gt;="&amp;DATE(Settings!$B$4,4,1),Expenses!$A$6:$A$505,"&lt;"&amp;DATE(Settings!$B$4,5,1),Expenses!$I$6:$I$505,"OK")+SUMIFS(Expenses!$E$6:$E$505,Expenses!$A$6:$A$505,"&gt;="&amp;DATE(Settings!$B$4,4,1),Expenses!$A$6:$A$505,"&lt;"&amp;DATE(Settings!$B$4,5,1),Expenses!$I$6:$I$505,"CHECK")</f>
        <v>0</v>
      </c>
    </row>
    <row r="28" customFormat="false" ht="15" hidden="false" customHeight="false" outlineLevel="0" collapsed="false">
      <c r="A28" s="0" t="str">
        <f aca="false">IF(Settings!$B$15="","",Settings!$B$15)</f>
        <v>Office supplies</v>
      </c>
      <c r="B28" s="24" t="n">
        <f aca="false">IF(A28="","",SUMIFS(Expenses!$E$6:$E$505,Expenses!$D$6:$D$505,A28,Expenses!$I$6:$I$505,"OK")+SUMIFS(Expenses!$E$6:$E$505,Expenses!$D$6:$D$505,A28,Expenses!$I$6:$I$505,"CHECK"))</f>
        <v>48.2</v>
      </c>
      <c r="D28" s="25" t="s">
        <v>85</v>
      </c>
      <c r="E28" s="24" t="n">
        <f aca="false">SUMIFS(Expenses!$E$6:$E$505,Expenses!$A$6:$A$505,"&gt;="&amp;DATE(Settings!$B$4,5,1),Expenses!$A$6:$A$505,"&lt;"&amp;DATE(Settings!$B$4,6,1),Expenses!$I$6:$I$505,"OK")+SUMIFS(Expenses!$E$6:$E$505,Expenses!$A$6:$A$505,"&gt;="&amp;DATE(Settings!$B$4,5,1),Expenses!$A$6:$A$505,"&lt;"&amp;DATE(Settings!$B$4,6,1),Expenses!$I$6:$I$505,"CHECK")</f>
        <v>0</v>
      </c>
    </row>
    <row r="29" customFormat="false" ht="15" hidden="false" customHeight="false" outlineLevel="0" collapsed="false">
      <c r="A29" s="0" t="str">
        <f aca="false">IF(Settings!$B$16="","",Settings!$B$16)</f>
        <v>Phone &amp; internet</v>
      </c>
      <c r="B29" s="24" t="n">
        <f aca="false">IF(A29="","",SUMIFS(Expenses!$E$6:$E$505,Expenses!$D$6:$D$505,A29,Expenses!$I$6:$I$505,"OK")+SUMIFS(Expenses!$E$6:$E$505,Expenses!$D$6:$D$505,A29,Expenses!$I$6:$I$505,"CHECK"))</f>
        <v>0</v>
      </c>
      <c r="D29" s="25" t="s">
        <v>86</v>
      </c>
      <c r="E29" s="24" t="n">
        <f aca="false">SUMIFS(Expenses!$E$6:$E$505,Expenses!$A$6:$A$505,"&gt;="&amp;DATE(Settings!$B$4,6,1),Expenses!$A$6:$A$505,"&lt;"&amp;DATE(Settings!$B$4,7,1),Expenses!$I$6:$I$505,"OK")+SUMIFS(Expenses!$E$6:$E$505,Expenses!$A$6:$A$505,"&gt;="&amp;DATE(Settings!$B$4,6,1),Expenses!$A$6:$A$505,"&lt;"&amp;DATE(Settings!$B$4,7,1),Expenses!$I$6:$I$505,"CHECK")</f>
        <v>0</v>
      </c>
    </row>
    <row r="30" customFormat="false" ht="15" hidden="false" customHeight="false" outlineLevel="0" collapsed="false">
      <c r="A30" s="0" t="str">
        <f aca="false">IF(Settings!$B$17="","",Settings!$B$17)</f>
        <v>Professional services</v>
      </c>
      <c r="B30" s="24" t="n">
        <f aca="false">IF(A30="","",SUMIFS(Expenses!$E$6:$E$505,Expenses!$D$6:$D$505,A30,Expenses!$I$6:$I$505,"OK")+SUMIFS(Expenses!$E$6:$E$505,Expenses!$D$6:$D$505,A30,Expenses!$I$6:$I$505,"CHECK"))</f>
        <v>0</v>
      </c>
      <c r="D30" s="25" t="s">
        <v>87</v>
      </c>
      <c r="E30" s="24" t="n">
        <f aca="false">SUMIFS(Expenses!$E$6:$E$505,Expenses!$A$6:$A$505,"&gt;="&amp;DATE(Settings!$B$4,7,1),Expenses!$A$6:$A$505,"&lt;"&amp;DATE(Settings!$B$4,8,1),Expenses!$I$6:$I$505,"OK")+SUMIFS(Expenses!$E$6:$E$505,Expenses!$A$6:$A$505,"&gt;="&amp;DATE(Settings!$B$4,7,1),Expenses!$A$6:$A$505,"&lt;"&amp;DATE(Settings!$B$4,8,1),Expenses!$I$6:$I$505,"CHECK")</f>
        <v>0</v>
      </c>
    </row>
    <row r="31" customFormat="false" ht="15" hidden="false" customHeight="false" outlineLevel="0" collapsed="false">
      <c r="A31" s="0" t="str">
        <f aca="false">IF(Settings!$B$18="","",Settings!$B$18)</f>
        <v>Rent</v>
      </c>
      <c r="B31" s="24" t="n">
        <f aca="false">IF(A31="","",SUMIFS(Expenses!$E$6:$E$505,Expenses!$D$6:$D$505,A31,Expenses!$I$6:$I$505,"OK")+SUMIFS(Expenses!$E$6:$E$505,Expenses!$D$6:$D$505,A31,Expenses!$I$6:$I$505,"CHECK"))</f>
        <v>1200</v>
      </c>
      <c r="D31" s="25" t="s">
        <v>88</v>
      </c>
      <c r="E31" s="24" t="n">
        <f aca="false">SUMIFS(Expenses!$E$6:$E$505,Expenses!$A$6:$A$505,"&gt;="&amp;DATE(Settings!$B$4,8,1),Expenses!$A$6:$A$505,"&lt;"&amp;DATE(Settings!$B$4,9,1),Expenses!$I$6:$I$505,"OK")+SUMIFS(Expenses!$E$6:$E$505,Expenses!$A$6:$A$505,"&gt;="&amp;DATE(Settings!$B$4,8,1),Expenses!$A$6:$A$505,"&lt;"&amp;DATE(Settings!$B$4,9,1),Expenses!$I$6:$I$505,"CHECK")</f>
        <v>0</v>
      </c>
    </row>
    <row r="32" customFormat="false" ht="15" hidden="false" customHeight="false" outlineLevel="0" collapsed="false">
      <c r="A32" s="0" t="str">
        <f aca="false">IF(Settings!$B$19="","",Settings!$B$19)</f>
        <v>Software &amp; subscriptions</v>
      </c>
      <c r="B32" s="24" t="n">
        <f aca="false">IF(A32="","",SUMIFS(Expenses!$E$6:$E$505,Expenses!$D$6:$D$505,A32,Expenses!$I$6:$I$505,"OK")+SUMIFS(Expenses!$E$6:$E$505,Expenses!$D$6:$D$505,A32,Expenses!$I$6:$I$505,"CHECK"))</f>
        <v>119.98</v>
      </c>
      <c r="D32" s="25" t="s">
        <v>89</v>
      </c>
      <c r="E32" s="24" t="n">
        <f aca="false">SUMIFS(Expenses!$E$6:$E$505,Expenses!$A$6:$A$505,"&gt;="&amp;DATE(Settings!$B$4,9,1),Expenses!$A$6:$A$505,"&lt;"&amp;DATE(Settings!$B$4,10,1),Expenses!$I$6:$I$505,"OK")+SUMIFS(Expenses!$E$6:$E$505,Expenses!$A$6:$A$505,"&gt;="&amp;DATE(Settings!$B$4,9,1),Expenses!$A$6:$A$505,"&lt;"&amp;DATE(Settings!$B$4,10,1),Expenses!$I$6:$I$505,"CHECK")</f>
        <v>0</v>
      </c>
    </row>
    <row r="33" customFormat="false" ht="15" hidden="false" customHeight="false" outlineLevel="0" collapsed="false">
      <c r="A33" s="0" t="str">
        <f aca="false">IF(Settings!$B$20="","",Settings!$B$20)</f>
        <v>Training &amp; education</v>
      </c>
      <c r="B33" s="24" t="n">
        <f aca="false">IF(A33="","",SUMIFS(Expenses!$E$6:$E$505,Expenses!$D$6:$D$505,A33,Expenses!$I$6:$I$505,"OK")+SUMIFS(Expenses!$E$6:$E$505,Expenses!$D$6:$D$505,A33,Expenses!$I$6:$I$505,"CHECK"))</f>
        <v>0</v>
      </c>
      <c r="D33" s="25" t="s">
        <v>90</v>
      </c>
      <c r="E33" s="24" t="n">
        <f aca="false">SUMIFS(Expenses!$E$6:$E$505,Expenses!$A$6:$A$505,"&gt;="&amp;DATE(Settings!$B$4,10,1),Expenses!$A$6:$A$505,"&lt;"&amp;DATE(Settings!$B$4,11,1),Expenses!$I$6:$I$505,"OK")+SUMIFS(Expenses!$E$6:$E$505,Expenses!$A$6:$A$505,"&gt;="&amp;DATE(Settings!$B$4,10,1),Expenses!$A$6:$A$505,"&lt;"&amp;DATE(Settings!$B$4,11,1),Expenses!$I$6:$I$505,"CHECK")</f>
        <v>0</v>
      </c>
    </row>
    <row r="34" customFormat="false" ht="15" hidden="false" customHeight="false" outlineLevel="0" collapsed="false">
      <c r="A34" s="0" t="str">
        <f aca="false">IF(Settings!$B$21="","",Settings!$B$21)</f>
        <v>Travel</v>
      </c>
      <c r="B34" s="24" t="n">
        <f aca="false">IF(A34="","",SUMIFS(Expenses!$E$6:$E$505,Expenses!$D$6:$D$505,A34,Expenses!$I$6:$I$505,"OK")+SUMIFS(Expenses!$E$6:$E$505,Expenses!$D$6:$D$505,A34,Expenses!$I$6:$I$505,"CHECK"))</f>
        <v>412.3</v>
      </c>
      <c r="D34" s="25" t="s">
        <v>91</v>
      </c>
      <c r="E34" s="24" t="n">
        <f aca="false">SUMIFS(Expenses!$E$6:$E$505,Expenses!$A$6:$A$505,"&gt;="&amp;DATE(Settings!$B$4,11,1),Expenses!$A$6:$A$505,"&lt;"&amp;DATE(Settings!$B$4,12,1),Expenses!$I$6:$I$505,"OK")+SUMIFS(Expenses!$E$6:$E$505,Expenses!$A$6:$A$505,"&gt;="&amp;DATE(Settings!$B$4,11,1),Expenses!$A$6:$A$505,"&lt;"&amp;DATE(Settings!$B$4,12,1),Expenses!$I$6:$I$505,"CHECK")</f>
        <v>0</v>
      </c>
    </row>
    <row r="35" customFormat="false" ht="15" hidden="false" customHeight="false" outlineLevel="0" collapsed="false">
      <c r="A35" s="0" t="str">
        <f aca="false">IF(Settings!$B$22="","",Settings!$B$22)</f>
        <v>Vehicle</v>
      </c>
      <c r="B35" s="24" t="n">
        <f aca="false">IF(A35="","",SUMIFS(Expenses!$E$6:$E$505,Expenses!$D$6:$D$505,A35,Expenses!$I$6:$I$505,"OK")+SUMIFS(Expenses!$E$6:$E$505,Expenses!$D$6:$D$505,A35,Expenses!$I$6:$I$505,"CHECK"))</f>
        <v>0</v>
      </c>
      <c r="D35" s="25" t="s">
        <v>92</v>
      </c>
      <c r="E35" s="24" t="n">
        <f aca="false">SUMIFS(Expenses!$E$6:$E$505,Expenses!$A$6:$A$505,"&gt;="&amp;DATE(Settings!$B$4,12,1),Expenses!$A$6:$A$505,"&lt;"&amp;DATE(Settings!$B$4,13,1),Expenses!$I$6:$I$505,"OK")+SUMIFS(Expenses!$E$6:$E$505,Expenses!$A$6:$A$505,"&gt;="&amp;DATE(Settings!$B$4,12,1),Expenses!$A$6:$A$505,"&lt;"&amp;DATE(Settings!$B$4,13,1),Expenses!$I$6:$I$505,"CHECK")</f>
        <v>0</v>
      </c>
    </row>
    <row r="36" customFormat="false" ht="15" hidden="false" customHeight="false" outlineLevel="0" collapsed="false">
      <c r="A36" s="0" t="str">
        <f aca="false">IF(Settings!$B$23="","",Settings!$B$23)</f>
        <v>Other</v>
      </c>
      <c r="B36" s="24" t="n">
        <f aca="false">IF(A36="","",SUMIFS(Expenses!$E$6:$E$505,Expenses!$D$6:$D$505,A36,Expenses!$I$6:$I$505,"OK")+SUMIFS(Expenses!$E$6:$E$505,Expenses!$D$6:$D$505,A36,Expenses!$I$6:$I$505,"CHECK"))</f>
        <v>0</v>
      </c>
    </row>
    <row r="37" customFormat="false" ht="15" hidden="false" customHeight="false" outlineLevel="0" collapsed="false">
      <c r="A37" s="0" t="str">
        <f aca="false">IF(Settings!$B$24="","",Settings!$B$24)</f>
        <v/>
      </c>
      <c r="B37" s="24" t="str">
        <f aca="false">IF(A37="","",SUMIFS(Expenses!$E$6:$E$505,Expenses!$D$6:$D$505,A37,Expenses!$I$6:$I$505,"OK")+SUMIFS(Expenses!$E$6:$E$505,Expenses!$D$6:$D$505,A37,Expenses!$I$6:$I$505,"CHECK"))</f>
        <v/>
      </c>
    </row>
    <row r="38" customFormat="false" ht="15" hidden="false" customHeight="false" outlineLevel="0" collapsed="false">
      <c r="A38" s="0" t="str">
        <f aca="false">IF(Settings!$B$25="","",Settings!$B$25)</f>
        <v/>
      </c>
      <c r="B38" s="24" t="str">
        <f aca="false">IF(A38="","",SUMIFS(Expenses!$E$6:$E$505,Expenses!$D$6:$D$505,A38,Expenses!$I$6:$I$505,"OK")+SUMIFS(Expenses!$E$6:$E$505,Expenses!$D$6:$D$505,A38,Expenses!$I$6:$I$505,"CHECK"))</f>
        <v/>
      </c>
    </row>
    <row r="39" customFormat="false" ht="15" hidden="false" customHeight="false" outlineLevel="0" collapsed="false">
      <c r="A39" s="0" t="str">
        <f aca="false">IF(Settings!$B$26="","",Settings!$B$26)</f>
        <v/>
      </c>
      <c r="B39" s="24" t="str">
        <f aca="false">IF(A39="","",SUMIFS(Expenses!$E$6:$E$505,Expenses!$D$6:$D$505,A39,Expenses!$I$6:$I$505,"OK")+SUMIFS(Expenses!$E$6:$E$505,Expenses!$D$6:$D$505,A39,Expenses!$I$6:$I$505,"CHECK"))</f>
        <v/>
      </c>
    </row>
    <row r="40" customFormat="false" ht="15" hidden="false" customHeight="false" outlineLevel="0" collapsed="false">
      <c r="A40" s="0" t="str">
        <f aca="false">IF(Settings!$B$27="","",Settings!$B$27)</f>
        <v/>
      </c>
      <c r="B40" s="24" t="str">
        <f aca="false">IF(A40="","",SUMIFS(Expenses!$E$6:$E$505,Expenses!$D$6:$D$505,A40,Expenses!$I$6:$I$505,"OK")+SUMIFS(Expenses!$E$6:$E$505,Expenses!$D$6:$D$505,A40,Expenses!$I$6:$I$505,"CHECK"))</f>
        <v/>
      </c>
    </row>
    <row r="41" customFormat="false" ht="15" hidden="false" customHeight="false" outlineLevel="0" collapsed="false">
      <c r="A41" s="0" t="str">
        <f aca="false">IF(Settings!$B$28="","",Settings!$B$28)</f>
        <v/>
      </c>
      <c r="B41" s="24" t="str">
        <f aca="false">IF(A41="","",SUMIFS(Expenses!$E$6:$E$505,Expenses!$D$6:$D$505,A41,Expenses!$I$6:$I$505,"OK")+SUMIFS(Expenses!$E$6:$E$505,Expenses!$D$6:$D$505,A41,Expenses!$I$6:$I$505,"CHECK"))</f>
        <v/>
      </c>
    </row>
    <row r="42" customFormat="false" ht="15" hidden="false" customHeight="false" outlineLevel="0" collapsed="false">
      <c r="A42" s="0" t="str">
        <f aca="false">IF(Settings!$B$29="","",Settings!$B$29)</f>
        <v/>
      </c>
      <c r="B42" s="24" t="str">
        <f aca="false">IF(A42="","",SUMIFS(Expenses!$E$6:$E$505,Expenses!$D$6:$D$505,A42,Expenses!$I$6:$I$505,"OK")+SUMIFS(Expenses!$E$6:$E$505,Expenses!$D$6:$D$505,A42,Expenses!$I$6:$I$505,"CHECK"))</f>
        <v/>
      </c>
    </row>
    <row r="43" customFormat="false" ht="15" hidden="false" customHeight="false" outlineLevel="0" collapsed="false">
      <c r="A43" s="0" t="str">
        <f aca="false">IF(Settings!$B$30="","",Settings!$B$30)</f>
        <v/>
      </c>
      <c r="B43" s="24" t="str">
        <f aca="false">IF(A43="","",SUMIFS(Expenses!$E$6:$E$505,Expenses!$D$6:$D$505,A43,Expenses!$I$6:$I$505,"OK")+SUMIFS(Expenses!$E$6:$E$505,Expenses!$D$6:$D$505,A43,Expenses!$I$6:$I$505,"CHECK"))</f>
        <v/>
      </c>
    </row>
    <row r="44" customFormat="false" ht="15" hidden="false" customHeight="false" outlineLevel="0" collapsed="false">
      <c r="A44" s="0" t="str">
        <f aca="false">IF(Settings!$B$31="","",Settings!$B$31)</f>
        <v/>
      </c>
      <c r="B44" s="24" t="str">
        <f aca="false">IF(A44="","",SUMIFS(Expenses!$E$6:$E$505,Expenses!$D$6:$D$505,A44,Expenses!$I$6:$I$505,"OK")+SUMIFS(Expenses!$E$6:$E$505,Expenses!$D$6:$D$505,A44,Expenses!$I$6:$I$505,"CHECK"))</f>
        <v/>
      </c>
    </row>
    <row r="45" customFormat="false" ht="15" hidden="false" customHeight="false" outlineLevel="0" collapsed="false">
      <c r="A45" s="0" t="str">
        <f aca="false">IF(Settings!$B$32="","",Settings!$B$32)</f>
        <v/>
      </c>
      <c r="B45" s="24" t="str">
        <f aca="false">IF(A45="","",SUMIFS(Expenses!$E$6:$E$505,Expenses!$D$6:$D$505,A45,Expenses!$I$6:$I$505,"OK")+SUMIFS(Expenses!$E$6:$E$505,Expenses!$D$6:$D$505,A45,Expenses!$I$6:$I$505,"CHECK"))</f>
        <v/>
      </c>
    </row>
    <row r="46" customFormat="false" ht="15" hidden="false" customHeight="false" outlineLevel="0" collapsed="false">
      <c r="A46" s="0" t="str">
        <f aca="false">IF(Settings!$B$33="","",Settings!$B$33)</f>
        <v/>
      </c>
      <c r="B46" s="24" t="str">
        <f aca="false">IF(A46="","",SUMIFS(Expenses!$E$6:$E$505,Expenses!$D$6:$D$505,A46,Expenses!$I$6:$I$505,"OK")+SUMIFS(Expenses!$E$6:$E$505,Expenses!$D$6:$D$505,A46,Expenses!$I$6:$I$505,"CHECK"))</f>
        <v/>
      </c>
    </row>
    <row r="47" customFormat="false" ht="15" hidden="false" customHeight="false" outlineLevel="0" collapsed="false">
      <c r="A47" s="0" t="str">
        <f aca="false">IF(Settings!$B$34="","",Settings!$B$34)</f>
        <v/>
      </c>
      <c r="B47" s="24" t="str">
        <f aca="false">IF(A47="","",SUMIFS(Expenses!$E$6:$E$505,Expenses!$D$6:$D$505,A47,Expenses!$I$6:$I$505,"OK")+SUMIFS(Expenses!$E$6:$E$505,Expenses!$D$6:$D$505,A47,Expenses!$I$6:$I$505,"CHECK"))</f>
        <v/>
      </c>
    </row>
    <row r="48" customFormat="false" ht="15" hidden="false" customHeight="false" outlineLevel="0" collapsed="false">
      <c r="A48" s="0" t="str">
        <f aca="false">IF(Settings!$B$35="","",Settings!$B$35)</f>
        <v/>
      </c>
      <c r="B48" s="24" t="str">
        <f aca="false">IF(A48="","",SUMIFS(Expenses!$E$6:$E$505,Expenses!$D$6:$D$505,A48,Expenses!$I$6:$I$505,"OK")+SUMIFS(Expenses!$E$6:$E$505,Expenses!$D$6:$D$505,A48,Expenses!$I$6:$I$505,"CHECK"))</f>
        <v/>
      </c>
    </row>
    <row r="49" customFormat="false" ht="15" hidden="false" customHeight="false" outlineLevel="0" collapsed="false">
      <c r="A49" s="0" t="str">
        <f aca="false">IF(Settings!$B$36="","",Settings!$B$36)</f>
        <v/>
      </c>
      <c r="B49" s="24" t="str">
        <f aca="false">IF(A49="","",SUMIFS(Expenses!$E$6:$E$505,Expenses!$D$6:$D$505,A49,Expenses!$I$6:$I$505,"OK")+SUMIFS(Expenses!$E$6:$E$505,Expenses!$D$6:$D$505,A49,Expenses!$I$6:$I$505,"CHECK"))</f>
        <v/>
      </c>
    </row>
    <row r="50" customFormat="false" ht="15" hidden="false" customHeight="false" outlineLevel="0" collapsed="false">
      <c r="A50" s="0" t="str">
        <f aca="false">IF(Settings!$B$37="","",Settings!$B$37)</f>
        <v/>
      </c>
      <c r="B50" s="24" t="str">
        <f aca="false">IF(A50="","",SUMIFS(Expenses!$E$6:$E$505,Expenses!$D$6:$D$505,A50,Expenses!$I$6:$I$505,"OK")+SUMIFS(Expenses!$E$6:$E$505,Expenses!$D$6:$D$505,A50,Expenses!$I$6:$I$505,"CHECK"))</f>
        <v/>
      </c>
    </row>
    <row r="51" customFormat="false" ht="15" hidden="false" customHeight="false" outlineLevel="0" collapsed="false">
      <c r="A51" s="0" t="str">
        <f aca="false">IF(Settings!$B$38="","",Settings!$B$38)</f>
        <v/>
      </c>
      <c r="B51" s="24" t="str">
        <f aca="false">IF(A51="","",SUMIFS(Expenses!$E$6:$E$505,Expenses!$D$6:$D$505,A51,Expenses!$I$6:$I$505,"OK")+SUMIFS(Expenses!$E$6:$E$505,Expenses!$D$6:$D$505,A51,Expenses!$I$6:$I$505,"CHECK"))</f>
        <v/>
      </c>
    </row>
    <row r="52" customFormat="false" ht="15" hidden="false" customHeight="false" outlineLevel="0" collapsed="false">
      <c r="A52" s="0" t="str">
        <f aca="false">IF(Settings!$B$39="","",Settings!$B$39)</f>
        <v/>
      </c>
      <c r="B52" s="24" t="str">
        <f aca="false">IF(A52="","",SUMIFS(Expenses!$E$6:$E$505,Expenses!$D$6:$D$505,A52,Expenses!$I$6:$I$505,"OK")+SUMIFS(Expenses!$E$6:$E$505,Expenses!$D$6:$D$505,A52,Expenses!$I$6:$I$505,"CHECK"))</f>
        <v/>
      </c>
    </row>
    <row r="53" customFormat="false" ht="15" hidden="false" customHeight="false" outlineLevel="0" collapsed="false">
      <c r="A53" s="0" t="str">
        <f aca="false">IF(Settings!$B$40="","",Settings!$B$40)</f>
        <v/>
      </c>
      <c r="B53" s="24" t="str">
        <f aca="false">IF(A53="","",SUMIFS(Expenses!$E$6:$E$505,Expenses!$D$6:$D$505,A53,Expenses!$I$6:$I$505,"OK")+SUMIFS(Expenses!$E$6:$E$505,Expenses!$D$6:$D$505,A53,Expenses!$I$6:$I$505,"CHECK"))</f>
        <v/>
      </c>
    </row>
  </sheetData>
  <conditionalFormatting sqref="B4">
    <cfRule type="expression" priority="2" aboveAverage="0" equalAverage="0" bottom="0" percent="0" rank="0" text="" dxfId="2">
      <formula>$B$4="ALL CHECKS PASSED"</formula>
    </cfRule>
    <cfRule type="expression" priority="3" aboveAverage="0" equalAverage="0" bottom="0" percent="0" rank="0" text="" dxfId="0">
      <formula>$B$6&gt;0</formula>
    </cfRule>
    <cfRule type="expression" priority="4" aboveAverage="0" equalAverage="0" bottom="0" percent="0" rank="0" text="" dxfId="1">
      <formula>AND($B$6=0,$B$7&gt;0)</formula>
    </cfRule>
  </conditionalFormatting>
  <conditionalFormatting sqref="B13:B14">
    <cfRule type="cellIs" priority="5" operator="equal" aboveAverage="0" equalAverage="0" bottom="0" percent="0" rank="0" text="" dxfId="3">
      <formula>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90"/>
  </cols>
  <sheetData>
    <row r="1" customFormat="false" ht="19.7" hidden="false" customHeight="false" outlineLevel="0" collapsed="false">
      <c r="A1" s="26" t="s">
        <v>93</v>
      </c>
    </row>
    <row r="2" customFormat="false" ht="15" hidden="false" customHeight="false" outlineLevel="0" collapsed="false">
      <c r="A2" s="6" t="s">
        <v>94</v>
      </c>
    </row>
    <row r="4" customFormat="false" ht="15" hidden="false" customHeight="false" outlineLevel="0" collapsed="false">
      <c r="A4" s="17" t="s">
        <v>95</v>
      </c>
      <c r="B4" s="27" t="n">
        <v>2026</v>
      </c>
      <c r="C4" s="16" t="s">
        <v>96</v>
      </c>
    </row>
    <row r="5" customFormat="false" ht="15" hidden="false" customHeight="false" outlineLevel="0" collapsed="false">
      <c r="A5" s="17" t="s">
        <v>97</v>
      </c>
      <c r="B5" s="27" t="n">
        <v>1000</v>
      </c>
      <c r="C5" s="16" t="s">
        <v>98</v>
      </c>
    </row>
    <row r="6" customFormat="false" ht="15" hidden="false" customHeight="false" outlineLevel="0" collapsed="false">
      <c r="A6" s="17" t="s">
        <v>99</v>
      </c>
      <c r="B6" s="27" t="n">
        <v>75</v>
      </c>
      <c r="C6" s="16" t="s">
        <v>100</v>
      </c>
    </row>
    <row r="7" customFormat="false" ht="15" hidden="false" customHeight="false" outlineLevel="0" collapsed="false">
      <c r="A7" s="17" t="s">
        <v>101</v>
      </c>
      <c r="B7" s="27" t="s">
        <v>102</v>
      </c>
      <c r="C7" s="16" t="s">
        <v>103</v>
      </c>
    </row>
    <row r="10" customFormat="false" ht="15" hidden="false" customHeight="false" outlineLevel="0" collapsed="false">
      <c r="A10" s="22" t="s">
        <v>104</v>
      </c>
      <c r="C10" s="16" t="s">
        <v>105</v>
      </c>
    </row>
    <row r="11" customFormat="false" ht="15" hidden="false" customHeight="false" outlineLevel="0" collapsed="false">
      <c r="B11" s="27" t="s">
        <v>106</v>
      </c>
    </row>
    <row r="12" customFormat="false" ht="15" hidden="false" customHeight="false" outlineLevel="0" collapsed="false">
      <c r="B12" s="27" t="s">
        <v>107</v>
      </c>
    </row>
    <row r="13" customFormat="false" ht="15" hidden="false" customHeight="false" outlineLevel="0" collapsed="false">
      <c r="B13" s="27" t="s">
        <v>61</v>
      </c>
    </row>
    <row r="14" customFormat="false" ht="15" hidden="false" customHeight="false" outlineLevel="0" collapsed="false">
      <c r="B14" s="27" t="s">
        <v>108</v>
      </c>
    </row>
    <row r="15" customFormat="false" ht="15" hidden="false" customHeight="false" outlineLevel="0" collapsed="false">
      <c r="B15" s="27" t="s">
        <v>42</v>
      </c>
    </row>
    <row r="16" customFormat="false" ht="15" hidden="false" customHeight="false" outlineLevel="0" collapsed="false">
      <c r="B16" s="27" t="s">
        <v>57</v>
      </c>
    </row>
    <row r="17" customFormat="false" ht="15" hidden="false" customHeight="false" outlineLevel="0" collapsed="false">
      <c r="B17" s="27" t="s">
        <v>109</v>
      </c>
    </row>
    <row r="18" customFormat="false" ht="15" hidden="false" customHeight="false" outlineLevel="0" collapsed="false">
      <c r="B18" s="27" t="s">
        <v>64</v>
      </c>
    </row>
    <row r="19" customFormat="false" ht="15" hidden="false" customHeight="false" outlineLevel="0" collapsed="false">
      <c r="B19" s="27" t="s">
        <v>48</v>
      </c>
    </row>
    <row r="20" customFormat="false" ht="15" hidden="false" customHeight="false" outlineLevel="0" collapsed="false">
      <c r="B20" s="27" t="s">
        <v>110</v>
      </c>
    </row>
    <row r="21" customFormat="false" ht="15" hidden="false" customHeight="false" outlineLevel="0" collapsed="false">
      <c r="B21" s="27" t="s">
        <v>51</v>
      </c>
    </row>
    <row r="22" customFormat="false" ht="15" hidden="false" customHeight="false" outlineLevel="0" collapsed="false">
      <c r="B22" s="27" t="s">
        <v>111</v>
      </c>
    </row>
    <row r="23" customFormat="false" ht="15" hidden="false" customHeight="false" outlineLevel="0" collapsed="false">
      <c r="B23" s="27" t="s">
        <v>112</v>
      </c>
    </row>
    <row r="24" customFormat="false" ht="15" hidden="false" customHeight="false" outlineLevel="0" collapsed="false">
      <c r="B24" s="27"/>
    </row>
    <row r="25" customFormat="false" ht="15" hidden="false" customHeight="false" outlineLevel="0" collapsed="false">
      <c r="B25" s="27"/>
    </row>
    <row r="26" customFormat="false" ht="15" hidden="false" customHeight="false" outlineLevel="0" collapsed="false">
      <c r="B26" s="27"/>
    </row>
    <row r="27" customFormat="false" ht="15" hidden="false" customHeight="false" outlineLevel="0" collapsed="false">
      <c r="B27" s="27"/>
    </row>
    <row r="28" customFormat="false" ht="15" hidden="false" customHeight="false" outlineLevel="0" collapsed="false">
      <c r="B28" s="27"/>
    </row>
    <row r="29" customFormat="false" ht="15" hidden="false" customHeight="false" outlineLevel="0" collapsed="false">
      <c r="B29" s="27"/>
    </row>
    <row r="30" customFormat="false" ht="15" hidden="false" customHeight="false" outlineLevel="0" collapsed="false">
      <c r="B30" s="27"/>
    </row>
    <row r="31" customFormat="false" ht="15" hidden="false" customHeight="false" outlineLevel="0" collapsed="false">
      <c r="B31" s="27"/>
    </row>
    <row r="32" customFormat="false" ht="15" hidden="false" customHeight="false" outlineLevel="0" collapsed="false">
      <c r="B32" s="27"/>
    </row>
    <row r="33" customFormat="false" ht="15" hidden="false" customHeight="false" outlineLevel="0" collapsed="false">
      <c r="B33" s="27"/>
    </row>
    <row r="34" customFormat="false" ht="15" hidden="false" customHeight="false" outlineLevel="0" collapsed="false">
      <c r="B34" s="27"/>
    </row>
    <row r="35" customFormat="false" ht="15" hidden="false" customHeight="false" outlineLevel="0" collapsed="false">
      <c r="B35" s="27"/>
    </row>
    <row r="36" customFormat="false" ht="15" hidden="false" customHeight="false" outlineLevel="0" collapsed="false">
      <c r="B36" s="27"/>
    </row>
    <row r="37" customFormat="false" ht="15" hidden="false" customHeight="false" outlineLevel="0" collapsed="false">
      <c r="B37" s="27"/>
    </row>
    <row r="38" customFormat="false" ht="15" hidden="false" customHeight="false" outlineLevel="0" collapsed="false">
      <c r="B38" s="27"/>
    </row>
    <row r="39" customFormat="false" ht="15" hidden="false" customHeight="false" outlineLevel="0" collapsed="false">
      <c r="B39" s="27"/>
    </row>
    <row r="40" customFormat="false" ht="15" hidden="false" customHeight="false" outlineLevel="0" collapsed="false">
      <c r="B40" s="27"/>
    </row>
    <row r="43" customFormat="false" ht="15" hidden="false" customHeight="false" outlineLevel="0" collapsed="false">
      <c r="A43" s="22" t="s">
        <v>113</v>
      </c>
    </row>
    <row r="44" customFormat="false" ht="15" hidden="false" customHeight="false" outlineLevel="0" collapsed="false">
      <c r="B44" s="27" t="s">
        <v>43</v>
      </c>
    </row>
    <row r="45" customFormat="false" ht="15" hidden="false" customHeight="false" outlineLevel="0" collapsed="false">
      <c r="B45" s="27" t="s">
        <v>58</v>
      </c>
    </row>
    <row r="46" customFormat="false" ht="15" hidden="false" customHeight="false" outlineLevel="0" collapsed="false">
      <c r="B46" s="27" t="s">
        <v>114</v>
      </c>
    </row>
    <row r="47" customFormat="false" ht="15" hidden="false" customHeight="false" outlineLevel="0" collapsed="false">
      <c r="B47" s="27" t="s">
        <v>115</v>
      </c>
    </row>
    <row r="48" customFormat="false" ht="15" hidden="false" customHeight="false" outlineLevel="0" collapsed="false">
      <c r="B48" s="27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2026-10-15T23:24:01Z</dcterms:created>
  <dc:creator>openpyxl</dc:creator>
  <dc:description/>
  <dc:language>en-US</dc:language>
  <cp:lastModifiedBy/>
  <dcterms:modified xsi:type="dcterms:W3CDTF">2026-10-15T23:24:01Z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